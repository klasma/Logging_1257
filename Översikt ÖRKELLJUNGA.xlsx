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46324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46324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46324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46324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46324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46324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46324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46324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46324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46324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46324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46324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46324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46324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46324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46324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46324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46324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46324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46324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46324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46324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46324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46324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46324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21867-2025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45784</v>
      </c>
      <c r="E27" s="1" t="n">
        <v>46324</v>
      </c>
      <c r="F27" t="inlineStr">
        <is>
          <t>SKÅNE LÄN</t>
        </is>
      </c>
      <c r="G27" t="inlineStr">
        <is>
          <t>ÖRKELLJUNGA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Källkvicklöpare</t>
        </is>
      </c>
      <c r="W27">
        <f>HYPERLINK("https://klasma.github.io/Logging_1257/artfynd/A 21867-2025 artfynd.xlsx", "A 21867-2025")</f>
        <v/>
      </c>
      <c r="X27">
        <f>HYPERLINK("https://klasma.github.io/Logging_1257/kartor/A 21867-2025 karta.png", "A 21867-2025")</f>
        <v/>
      </c>
      <c r="Y27">
        <f>HYPERLINK("https://klasma.github.io/Logging_1257/kartor_geotiff/A 21867-2025 georefererad karta.tif", "A 21867-2025")</f>
        <v/>
      </c>
      <c r="AA27">
        <f>HYPERLINK("https://klasma.github.io/Logging_1257/klagomål/A 21867-2025 FSC-klagomål.docx", "A 21867-2025")</f>
        <v/>
      </c>
      <c r="AB27">
        <f>HYPERLINK("https://klasma.github.io/Logging_1257/klagomålsmail/A 21867-2025 FSC-klagomål mail.docx", "A 21867-2025")</f>
        <v/>
      </c>
      <c r="AC27">
        <f>HYPERLINK("https://klasma.github.io/Logging_1257/tillsyn/A 21867-2025 tillsynsbegäran.docx", "A 21867-2025")</f>
        <v/>
      </c>
      <c r="AD27">
        <f>HYPERLINK("https://klasma.github.io/Logging_1257/tillsynsmail/A 21867-2025 tillsynsbegäran mail.docx", "A 21867-2025")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46324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Skorpplätt</t>
        </is>
      </c>
      <c r="W28">
        <f>HYPERLINK("https://klasma.github.io/Logging_1257/artfynd/A 6137-2024 artfynd.xlsx", "A 6137-2024")</f>
        <v/>
      </c>
      <c r="X28">
        <f>HYPERLINK("https://klasma.github.io/Logging_1257/kartor/A 6137-2024 karta.png", "A 6137-2024")</f>
        <v/>
      </c>
      <c r="Y28">
        <f>HYPERLINK("https://klasma.github.io/Logging_1257/kartor_geotiff/A 6137-2024 georefererad karta.tif", "A 6137-2024")</f>
        <v/>
      </c>
      <c r="AA28">
        <f>HYPERLINK("https://klasma.github.io/Logging_1257/klagomål/A 6137-2024 FSC-klagomål.docx", "A 6137-2024")</f>
        <v/>
      </c>
      <c r="AB28">
        <f>HYPERLINK("https://klasma.github.io/Logging_1257/klagomålsmail/A 6137-2024 FSC-klagomål mail.docx", "A 6137-2024")</f>
        <v/>
      </c>
      <c r="AC28">
        <f>HYPERLINK("https://klasma.github.io/Logging_1257/tillsyn/A 6137-2024 tillsynsbegäran.docx", "A 6137-2024")</f>
        <v/>
      </c>
      <c r="AD28">
        <f>HYPERLINK("https://klasma.github.io/Logging_1257/tillsynsmail/A 6137-2024 tillsynsbegäran mail.docx", "A 6137-2024")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46324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44244-2026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46318</v>
      </c>
      <c r="E30" s="1" t="n">
        <v>46324</v>
      </c>
      <c r="F30" t="inlineStr">
        <is>
          <t>SKÅNE LÄN</t>
        </is>
      </c>
      <c r="G30" t="inlineStr">
        <is>
          <t>ÖRKELLJUNGA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Kråka</t>
        </is>
      </c>
      <c r="W30">
        <f>HYPERLINK("https://klasma.github.io/Logging_1257/artfynd/A 44244-2026 artfynd.xlsx", "A 44244-2026")</f>
        <v/>
      </c>
      <c r="X30">
        <f>HYPERLINK("https://klasma.github.io/Logging_1257/kartor/A 44244-2026 karta.png", "A 44244-2026")</f>
        <v/>
      </c>
      <c r="Y30">
        <f>HYPERLINK("https://klasma.github.io/Logging_1257/kartor_geotiff/A 44244-2026 georefererad karta.tif", "A 44244-2026")</f>
        <v/>
      </c>
      <c r="AA30">
        <f>HYPERLINK("https://klasma.github.io/Logging_1257/klagomål/A 44244-2026 FSC-klagomål.docx", "A 44244-2026")</f>
        <v/>
      </c>
      <c r="AB30">
        <f>HYPERLINK("https://klasma.github.io/Logging_1257/klagomålsmail/A 44244-2026 FSC-klagomål mail.docx", "A 44244-2026")</f>
        <v/>
      </c>
      <c r="AC30">
        <f>HYPERLINK("https://klasma.github.io/Logging_1257/tillsyn/A 44244-2026 tillsynsbegäran.docx", "A 44244-2026")</f>
        <v/>
      </c>
      <c r="AD30">
        <f>HYPERLINK("https://klasma.github.io/Logging_1257/tillsynsmail/A 44244-2026 tillsynsbegäran mail.docx", "A 44244-2026")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46324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46324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46324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46324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46324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46324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46324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46324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46324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46324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46324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46324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46324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46324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46324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46324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46324</v>
      </c>
      <c r="F47" t="inlineStr">
        <is>
          <t>SKÅNE LÄN</t>
        </is>
      </c>
      <c r="G47" t="inlineStr">
        <is>
          <t>ÖRKELLJUNGA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46324</v>
      </c>
      <c r="F48" t="inlineStr">
        <is>
          <t>SKÅNE LÄN</t>
        </is>
      </c>
      <c r="G48" t="inlineStr">
        <is>
          <t>ÖRKELLJUNGA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46324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46324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46324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46324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46324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46324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46324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36838-2024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46324</v>
      </c>
      <c r="F56" t="inlineStr">
        <is>
          <t>SKÅNE LÄN</t>
        </is>
      </c>
      <c r="G56" t="inlineStr">
        <is>
          <t>ÖRKELLJUNGA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46324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46324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45804</v>
      </c>
      <c r="E59" s="1" t="n">
        <v>46324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46324</v>
      </c>
      <c r="F60" t="inlineStr">
        <is>
          <t>SKÅNE LÄN</t>
        </is>
      </c>
      <c r="G60" t="inlineStr">
        <is>
          <t>ÖRKELLJUNGA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44939</v>
      </c>
      <c r="E61" s="1" t="n">
        <v>46324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46324</v>
      </c>
      <c r="F62" t="inlineStr">
        <is>
          <t>SKÅNE LÄN</t>
        </is>
      </c>
      <c r="G62" t="inlineStr">
        <is>
          <t>ÖRKELLJUNGA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46324</v>
      </c>
      <c r="F63" t="inlineStr">
        <is>
          <t>SKÅNE LÄN</t>
        </is>
      </c>
      <c r="G63" t="inlineStr">
        <is>
          <t>ÖRKELLJUNGA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44971</v>
      </c>
      <c r="E64" s="1" t="n">
        <v>46324</v>
      </c>
      <c r="F64" t="inlineStr">
        <is>
          <t>SKÅNE LÄN</t>
        </is>
      </c>
      <c r="G64" t="inlineStr">
        <is>
          <t>ÖRKELLJUNGA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45723</v>
      </c>
      <c r="E65" s="1" t="n">
        <v>46324</v>
      </c>
      <c r="F65" t="inlineStr">
        <is>
          <t>SKÅNE LÄN</t>
        </is>
      </c>
      <c r="G65" t="inlineStr">
        <is>
          <t>ÖRKELLJUNGA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46324</v>
      </c>
      <c r="F66" t="inlineStr">
        <is>
          <t>SKÅNE LÄN</t>
        </is>
      </c>
      <c r="G66" t="inlineStr">
        <is>
          <t>ÖRKELLJUNGA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46324</v>
      </c>
      <c r="F67" t="inlineStr">
        <is>
          <t>SKÅNE LÄN</t>
        </is>
      </c>
      <c r="G67" t="inlineStr">
        <is>
          <t>ÖRKELLJUNGA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21146-2022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44704</v>
      </c>
      <c r="E68" s="1" t="n">
        <v>46324</v>
      </c>
      <c r="F68" t="inlineStr">
        <is>
          <t>SKÅNE LÄN</t>
        </is>
      </c>
      <c r="G68" t="inlineStr">
        <is>
          <t>ÖRKELLJUNGA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45048</v>
      </c>
      <c r="E69" s="1" t="n">
        <v>46324</v>
      </c>
      <c r="F69" t="inlineStr">
        <is>
          <t>SKÅNE LÄN</t>
        </is>
      </c>
      <c r="G69" t="inlineStr">
        <is>
          <t>ÖRKELLJUNGA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44704</v>
      </c>
      <c r="E70" s="1" t="n">
        <v>46324</v>
      </c>
      <c r="F70" t="inlineStr">
        <is>
          <t>SKÅNE LÄN</t>
        </is>
      </c>
      <c r="G70" t="inlineStr">
        <is>
          <t>ÖRKELLJUNGA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46324</v>
      </c>
      <c r="F71" t="inlineStr">
        <is>
          <t>SKÅNE LÄN</t>
        </is>
      </c>
      <c r="G71" t="inlineStr">
        <is>
          <t>ÖRKELLJUNGA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58130-2022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46324</v>
      </c>
      <c r="F72" t="inlineStr">
        <is>
          <t>SKÅNE LÄN</t>
        </is>
      </c>
      <c r="G72" t="inlineStr">
        <is>
          <t>ÖRKELLJUNGA</t>
        </is>
      </c>
      <c r="I72" t="n">
        <v>23.2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46324</v>
      </c>
      <c r="F73" t="inlineStr">
        <is>
          <t>SKÅNE LÄN</t>
        </is>
      </c>
      <c r="G73" t="inlineStr">
        <is>
          <t>ÖRKELLJUNGA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46324</v>
      </c>
      <c r="F74" t="inlineStr">
        <is>
          <t>SKÅNE LÄN</t>
        </is>
      </c>
      <c r="G74" t="inlineStr">
        <is>
          <t>ÖRKELLJUNGA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46324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46324</v>
      </c>
      <c r="F76" t="inlineStr">
        <is>
          <t>SKÅNE LÄN</t>
        </is>
      </c>
      <c r="G76" t="inlineStr">
        <is>
          <t>ÖRKELLJUNGA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46324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46324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45362</v>
      </c>
      <c r="E79" s="1" t="n">
        <v>46324</v>
      </c>
      <c r="F79" t="inlineStr">
        <is>
          <t>SKÅNE LÄN</t>
        </is>
      </c>
      <c r="G79" t="inlineStr">
        <is>
          <t>ÖRKELLJUNGA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46324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46324</v>
      </c>
      <c r="F81" t="inlineStr">
        <is>
          <t>SKÅNE LÄN</t>
        </is>
      </c>
      <c r="G81" t="inlineStr">
        <is>
          <t>ÖRKELLJUNGA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46324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46324</v>
      </c>
      <c r="F83" t="inlineStr">
        <is>
          <t>SKÅNE LÄN</t>
        </is>
      </c>
      <c r="G83" t="inlineStr">
        <is>
          <t>ÖRKELLJUNGA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46324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46324</v>
      </c>
      <c r="F85" t="inlineStr">
        <is>
          <t>SKÅNE LÄN</t>
        </is>
      </c>
      <c r="G85" t="inlineStr">
        <is>
          <t>ÖRKELLJUNGA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46324</v>
      </c>
      <c r="F86" t="inlineStr">
        <is>
          <t>SKÅNE LÄN</t>
        </is>
      </c>
      <c r="G86" t="inlineStr">
        <is>
          <t>ÖRKELLJUNGA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46324</v>
      </c>
      <c r="F87" t="inlineStr">
        <is>
          <t>SKÅNE LÄN</t>
        </is>
      </c>
      <c r="G87" t="inlineStr">
        <is>
          <t>ÖRKELLJUNGA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46324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46324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46324</v>
      </c>
      <c r="F90" t="inlineStr">
        <is>
          <t>SKÅNE LÄN</t>
        </is>
      </c>
      <c r="G90" t="inlineStr">
        <is>
          <t>ÖRKELLJUNGA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46324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46324</v>
      </c>
      <c r="F92" t="inlineStr">
        <is>
          <t>SKÅNE LÄN</t>
        </is>
      </c>
      <c r="G92" t="inlineStr">
        <is>
          <t>ÖRKELLJUNGA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46324</v>
      </c>
      <c r="F93" t="inlineStr">
        <is>
          <t>SKÅNE LÄN</t>
        </is>
      </c>
      <c r="G93" t="inlineStr">
        <is>
          <t>ÖRKELLJUNGA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46324</v>
      </c>
      <c r="F94" t="inlineStr">
        <is>
          <t>SKÅNE LÄN</t>
        </is>
      </c>
      <c r="G94" t="inlineStr">
        <is>
          <t>ÖRKELLJUNGA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45548</v>
      </c>
      <c r="E95" s="1" t="n">
        <v>46324</v>
      </c>
      <c r="F95" t="inlineStr">
        <is>
          <t>SKÅNE LÄN</t>
        </is>
      </c>
      <c r="G95" t="inlineStr">
        <is>
          <t>ÖRKELLJUNGA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45349</v>
      </c>
      <c r="E96" s="1" t="n">
        <v>46324</v>
      </c>
      <c r="F96" t="inlineStr">
        <is>
          <t>SKÅNE LÄN</t>
        </is>
      </c>
      <c r="G96" t="inlineStr">
        <is>
          <t>ÖRKELLJUNGA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46324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46324</v>
      </c>
      <c r="F98" t="inlineStr">
        <is>
          <t>SKÅNE LÄN</t>
        </is>
      </c>
      <c r="G98" t="inlineStr">
        <is>
          <t>ÖRKELLJUNGA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46324</v>
      </c>
      <c r="F99" t="inlineStr">
        <is>
          <t>SKÅNE LÄN</t>
        </is>
      </c>
      <c r="G99" t="inlineStr">
        <is>
          <t>ÖRKELLJUNGA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45009</v>
      </c>
      <c r="E100" s="1" t="n">
        <v>46324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46324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45077</v>
      </c>
      <c r="E102" s="1" t="n">
        <v>46324</v>
      </c>
      <c r="F102" t="inlineStr">
        <is>
          <t>SKÅNE LÄN</t>
        </is>
      </c>
      <c r="G102" t="inlineStr">
        <is>
          <t>ÖRKELLJUNGA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46324</v>
      </c>
      <c r="F103" t="inlineStr">
        <is>
          <t>SKÅNE LÄN</t>
        </is>
      </c>
      <c r="G103" t="inlineStr">
        <is>
          <t>ÖRKELLJUNGA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36280-2025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45867</v>
      </c>
      <c r="E104" s="1" t="n">
        <v>46324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46324</v>
      </c>
      <c r="F105" t="inlineStr">
        <is>
          <t>SKÅNE LÄN</t>
        </is>
      </c>
      <c r="G105" t="inlineStr">
        <is>
          <t>ÖRKELLJUNGA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72261-2021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46324</v>
      </c>
      <c r="F106" t="inlineStr">
        <is>
          <t>SKÅNE LÄN</t>
        </is>
      </c>
      <c r="G106" t="inlineStr">
        <is>
          <t>ÖRKELLJUNGA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44820</v>
      </c>
      <c r="E107" s="1" t="n">
        <v>46324</v>
      </c>
      <c r="F107" t="inlineStr">
        <is>
          <t>SKÅNE LÄN</t>
        </is>
      </c>
      <c r="G107" t="inlineStr">
        <is>
          <t>ÖRKELLJUNGA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46324</v>
      </c>
      <c r="F108" t="inlineStr">
        <is>
          <t>SKÅNE LÄN</t>
        </is>
      </c>
      <c r="G108" t="inlineStr">
        <is>
          <t>ÖRKELLJUNGA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45037</v>
      </c>
      <c r="E109" s="1" t="n">
        <v>46324</v>
      </c>
      <c r="F109" t="inlineStr">
        <is>
          <t>SKÅNE LÄN</t>
        </is>
      </c>
      <c r="G109" t="inlineStr">
        <is>
          <t>ÖRKELLJUNGA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46324</v>
      </c>
      <c r="F110" t="inlineStr">
        <is>
          <t>SKÅNE LÄN</t>
        </is>
      </c>
      <c r="G110" t="inlineStr">
        <is>
          <t>ÖRKELLJUNGA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46324</v>
      </c>
      <c r="F111" t="inlineStr">
        <is>
          <t>SKÅNE LÄN</t>
        </is>
      </c>
      <c r="G111" t="inlineStr">
        <is>
          <t>ÖRKELLJUNGA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46324</v>
      </c>
      <c r="F112" t="inlineStr">
        <is>
          <t>SKÅNE LÄN</t>
        </is>
      </c>
      <c r="G112" t="inlineStr">
        <is>
          <t>ÖRKELLJUNGA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45168</v>
      </c>
      <c r="E113" s="1" t="n">
        <v>46324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46324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46324</v>
      </c>
      <c r="F115" t="inlineStr">
        <is>
          <t>SKÅNE LÄN</t>
        </is>
      </c>
      <c r="G115" t="inlineStr">
        <is>
          <t>ÖRKELLJUNGA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46324</v>
      </c>
      <c r="F116" t="inlineStr">
        <is>
          <t>SKÅNE LÄN</t>
        </is>
      </c>
      <c r="G116" t="inlineStr">
        <is>
          <t>ÖRKELLJUNGA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46324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45235</v>
      </c>
      <c r="E118" s="1" t="n">
        <v>46324</v>
      </c>
      <c r="F118" t="inlineStr">
        <is>
          <t>SKÅNE LÄN</t>
        </is>
      </c>
      <c r="G118" t="inlineStr">
        <is>
          <t>ÖRKELLJUNGA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45235</v>
      </c>
      <c r="E119" s="1" t="n">
        <v>46324</v>
      </c>
      <c r="F119" t="inlineStr">
        <is>
          <t>SKÅNE LÄN</t>
        </is>
      </c>
      <c r="G119" t="inlineStr">
        <is>
          <t>ÖRKELLJUNGA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45848</v>
      </c>
      <c r="E120" s="1" t="n">
        <v>46324</v>
      </c>
      <c r="F120" t="inlineStr">
        <is>
          <t>SKÅNE LÄN</t>
        </is>
      </c>
      <c r="G120" t="inlineStr">
        <is>
          <t>ÖRKELLJUNGA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46324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21023-2024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45439</v>
      </c>
      <c r="E122" s="1" t="n">
        <v>46324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46324</v>
      </c>
      <c r="F123" t="inlineStr">
        <is>
          <t>SKÅNE LÄN</t>
        </is>
      </c>
      <c r="G123" t="inlineStr">
        <is>
          <t>ÖRKELLJUNGA</t>
        </is>
      </c>
      <c r="H123" t="inlineStr">
        <is>
          <t>Kyrkan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45999</v>
      </c>
      <c r="E124" s="1" t="n">
        <v>46324</v>
      </c>
      <c r="F124" t="inlineStr">
        <is>
          <t>SKÅNE LÄN</t>
        </is>
      </c>
      <c r="G124" t="inlineStr">
        <is>
          <t>ÖRKELLJUNGA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46324</v>
      </c>
      <c r="F125" t="inlineStr">
        <is>
          <t>SKÅNE LÄN</t>
        </is>
      </c>
      <c r="G125" t="inlineStr">
        <is>
          <t>ÖRKELLJUNGA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46324</v>
      </c>
      <c r="F126" t="inlineStr">
        <is>
          <t>SKÅNE LÄN</t>
        </is>
      </c>
      <c r="G126" t="inlineStr">
        <is>
          <t>ÖRKELLJUNGA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46324</v>
      </c>
      <c r="F127" t="inlineStr">
        <is>
          <t>SKÅNE LÄN</t>
        </is>
      </c>
      <c r="G127" t="inlineStr">
        <is>
          <t>ÖRKELLJUNGA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46324</v>
      </c>
      <c r="F128" t="inlineStr">
        <is>
          <t>SKÅNE LÄN</t>
        </is>
      </c>
      <c r="G128" t="inlineStr">
        <is>
          <t>ÖRKELLJUNGA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46324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46324</v>
      </c>
      <c r="F130" t="inlineStr">
        <is>
          <t>SKÅNE LÄN</t>
        </is>
      </c>
      <c r="G130" t="inlineStr">
        <is>
          <t>ÖRKELLJUNGA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46324</v>
      </c>
      <c r="F131" t="inlineStr">
        <is>
          <t>SKÅNE LÄN</t>
        </is>
      </c>
      <c r="G131" t="inlineStr">
        <is>
          <t>ÖRKELLJUNGA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46324</v>
      </c>
      <c r="F132" t="inlineStr">
        <is>
          <t>SKÅNE LÄN</t>
        </is>
      </c>
      <c r="G132" t="inlineStr">
        <is>
          <t>ÖRKELLJUNGA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46324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46324</v>
      </c>
      <c r="F134" t="inlineStr">
        <is>
          <t>SKÅNE LÄN</t>
        </is>
      </c>
      <c r="G134" t="inlineStr">
        <is>
          <t>ÖRKELLJUNGA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46324</v>
      </c>
      <c r="F135" t="inlineStr">
        <is>
          <t>SKÅNE LÄN</t>
        </is>
      </c>
      <c r="G135" t="inlineStr">
        <is>
          <t>ÖRKELLJUNGA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46324</v>
      </c>
      <c r="F136" t="inlineStr">
        <is>
          <t>SKÅNE LÄN</t>
        </is>
      </c>
      <c r="G136" t="inlineStr">
        <is>
          <t>ÖRKELLJUNGA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46324</v>
      </c>
      <c r="F137" t="inlineStr">
        <is>
          <t>SKÅNE LÄN</t>
        </is>
      </c>
      <c r="G137" t="inlineStr">
        <is>
          <t>ÖRKELLJUNGA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46324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46324</v>
      </c>
      <c r="F139" t="inlineStr">
        <is>
          <t>SKÅNE LÄN</t>
        </is>
      </c>
      <c r="G139" t="inlineStr">
        <is>
          <t>ÖRKELLJUNGA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25772-2026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46324</v>
      </c>
      <c r="F140" t="inlineStr">
        <is>
          <t>SKÅNE LÄN</t>
        </is>
      </c>
      <c r="G140" t="inlineStr">
        <is>
          <t>ÖRKELLJUNGA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46324</v>
      </c>
      <c r="F141" t="inlineStr">
        <is>
          <t>SKÅNE LÄN</t>
        </is>
      </c>
      <c r="G141" t="inlineStr">
        <is>
          <t>ÖRKELLJUNGA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46324</v>
      </c>
      <c r="F142" t="inlineStr">
        <is>
          <t>SKÅNE LÄN</t>
        </is>
      </c>
      <c r="G142" t="inlineStr">
        <is>
          <t>ÖRKELLJUNGA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46324</v>
      </c>
      <c r="F143" t="inlineStr">
        <is>
          <t>SKÅNE LÄN</t>
        </is>
      </c>
      <c r="G143" t="inlineStr">
        <is>
          <t>ÖRKELLJUNGA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46324</v>
      </c>
      <c r="F144" t="inlineStr">
        <is>
          <t>SKÅNE LÄN</t>
        </is>
      </c>
      <c r="G144" t="inlineStr">
        <is>
          <t>ÖRKELLJUNGA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46324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46324</v>
      </c>
      <c r="F146" t="inlineStr">
        <is>
          <t>SKÅNE LÄN</t>
        </is>
      </c>
      <c r="G146" t="inlineStr">
        <is>
          <t>ÖRKELLJUNGA</t>
        </is>
      </c>
      <c r="H146" t="inlineStr">
        <is>
          <t>Kommuner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45695</v>
      </c>
      <c r="E147" s="1" t="n">
        <v>46324</v>
      </c>
      <c r="F147" t="inlineStr">
        <is>
          <t>SKÅNE LÄN</t>
        </is>
      </c>
      <c r="G147" t="inlineStr">
        <is>
          <t>ÖRKELLJUNGA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46324</v>
      </c>
      <c r="F148" t="inlineStr">
        <is>
          <t>SKÅNE LÄN</t>
        </is>
      </c>
      <c r="G148" t="inlineStr">
        <is>
          <t>ÖRKELLJUNGA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46324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44752</v>
      </c>
      <c r="E150" s="1" t="n">
        <v>46324</v>
      </c>
      <c r="F150" t="inlineStr">
        <is>
          <t>SKÅNE LÄN</t>
        </is>
      </c>
      <c r="G150" t="inlineStr">
        <is>
          <t>ÖRKELLJUNGA</t>
        </is>
      </c>
      <c r="H150" t="inlineStr">
        <is>
          <t>Kommuner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46324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46324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44882-2022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44841</v>
      </c>
      <c r="E153" s="1" t="n">
        <v>46324</v>
      </c>
      <c r="F153" t="inlineStr">
        <is>
          <t>SKÅNE LÄN</t>
        </is>
      </c>
      <c r="G153" t="inlineStr">
        <is>
          <t>ÖRKELLJUNGA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46324</v>
      </c>
      <c r="F154" t="inlineStr">
        <is>
          <t>SKÅNE LÄN</t>
        </is>
      </c>
      <c r="G154" t="inlineStr">
        <is>
          <t>ÖRKELLJUNGA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46324</v>
      </c>
      <c r="F155" t="inlineStr">
        <is>
          <t>SKÅNE LÄN</t>
        </is>
      </c>
      <c r="G155" t="inlineStr">
        <is>
          <t>ÖRKELLJUNGA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46324</v>
      </c>
      <c r="F156" t="inlineStr">
        <is>
          <t>SKÅNE LÄN</t>
        </is>
      </c>
      <c r="G156" t="inlineStr">
        <is>
          <t>ÖRKELLJUNGA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46324</v>
      </c>
      <c r="F157" t="inlineStr">
        <is>
          <t>SKÅNE LÄN</t>
        </is>
      </c>
      <c r="G157" t="inlineStr">
        <is>
          <t>ÖRKELLJUNGA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46324</v>
      </c>
      <c r="F158" t="inlineStr">
        <is>
          <t>SKÅNE LÄN</t>
        </is>
      </c>
      <c r="G158" t="inlineStr">
        <is>
          <t>ÖRKELLJUNGA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46324</v>
      </c>
      <c r="F159" t="inlineStr">
        <is>
          <t>SKÅNE LÄN</t>
        </is>
      </c>
      <c r="G159" t="inlineStr">
        <is>
          <t>ÖRKELLJUNGA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46324</v>
      </c>
      <c r="F160" t="inlineStr">
        <is>
          <t>SKÅNE LÄN</t>
        </is>
      </c>
      <c r="G160" t="inlineStr">
        <is>
          <t>ÖRKELLJUNGA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46324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26593-2026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46324</v>
      </c>
      <c r="F162" t="inlineStr">
        <is>
          <t>SKÅNE LÄN</t>
        </is>
      </c>
      <c r="G162" t="inlineStr">
        <is>
          <t>ÖRKELLJUNGA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46324</v>
      </c>
      <c r="F163" t="inlineStr">
        <is>
          <t>SKÅNE LÄN</t>
        </is>
      </c>
      <c r="G163" t="inlineStr">
        <is>
          <t>ÖRKELLJUNGA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46324</v>
      </c>
      <c r="F164" t="inlineStr">
        <is>
          <t>SKÅNE LÄN</t>
        </is>
      </c>
      <c r="G164" t="inlineStr">
        <is>
          <t>ÖRKELLJUNGA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46324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46324</v>
      </c>
      <c r="F166" t="inlineStr">
        <is>
          <t>SKÅNE LÄN</t>
        </is>
      </c>
      <c r="G166" t="inlineStr">
        <is>
          <t>ÖRKELLJUNGA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46324</v>
      </c>
      <c r="F167" t="inlineStr">
        <is>
          <t>SKÅNE LÄN</t>
        </is>
      </c>
      <c r="G167" t="inlineStr">
        <is>
          <t>ÖRKELLJUNGA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46324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46324</v>
      </c>
      <c r="F169" t="inlineStr">
        <is>
          <t>SKÅNE LÄN</t>
        </is>
      </c>
      <c r="G169" t="inlineStr">
        <is>
          <t>ÖRKELLJUNGA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46324</v>
      </c>
      <c r="F170" t="inlineStr">
        <is>
          <t>SKÅNE LÄN</t>
        </is>
      </c>
      <c r="G170" t="inlineStr">
        <is>
          <t>ÖRKELLJUNGA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46324</v>
      </c>
      <c r="F171" t="inlineStr">
        <is>
          <t>SKÅNE LÄN</t>
        </is>
      </c>
      <c r="G171" t="inlineStr">
        <is>
          <t>ÖRKELLJUNGA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46324</v>
      </c>
      <c r="F172" t="inlineStr">
        <is>
          <t>SKÅNE LÄN</t>
        </is>
      </c>
      <c r="G172" t="inlineStr">
        <is>
          <t>ÖRKELLJUNGA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45674</v>
      </c>
      <c r="E173" s="1" t="n">
        <v>46324</v>
      </c>
      <c r="F173" t="inlineStr">
        <is>
          <t>SKÅNE LÄN</t>
        </is>
      </c>
      <c r="G173" t="inlineStr">
        <is>
          <t>ÖRKELLJUNGA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46324</v>
      </c>
      <c r="F174" t="inlineStr">
        <is>
          <t>SKÅNE LÄN</t>
        </is>
      </c>
      <c r="G174" t="inlineStr">
        <is>
          <t>ÖRKELLJUNGA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46324</v>
      </c>
      <c r="F175" t="inlineStr">
        <is>
          <t>SKÅNE LÄN</t>
        </is>
      </c>
      <c r="G175" t="inlineStr">
        <is>
          <t>ÖRKELLJUNGA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46324</v>
      </c>
      <c r="F176" t="inlineStr">
        <is>
          <t>SKÅNE LÄN</t>
        </is>
      </c>
      <c r="G176" t="inlineStr">
        <is>
          <t>ÖRKELLJUNGA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46324</v>
      </c>
      <c r="F177" t="inlineStr">
        <is>
          <t>SKÅNE LÄN</t>
        </is>
      </c>
      <c r="G177" t="inlineStr">
        <is>
          <t>ÖRKELLJUNGA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46324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46324</v>
      </c>
      <c r="F179" t="inlineStr">
        <is>
          <t>SKÅNE LÄN</t>
        </is>
      </c>
      <c r="G179" t="inlineStr">
        <is>
          <t>ÖRKELLJUNGA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46324</v>
      </c>
      <c r="F180" t="inlineStr">
        <is>
          <t>SKÅNE LÄN</t>
        </is>
      </c>
      <c r="G180" t="inlineStr">
        <is>
          <t>ÖRKELLJUNGA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46324</v>
      </c>
      <c r="F181" t="inlineStr">
        <is>
          <t>SKÅNE LÄN</t>
        </is>
      </c>
      <c r="G181" t="inlineStr">
        <is>
          <t>ÖRKELLJUNGA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46324</v>
      </c>
      <c r="F182" t="inlineStr">
        <is>
          <t>SKÅNE LÄN</t>
        </is>
      </c>
      <c r="G182" t="inlineStr">
        <is>
          <t>ÖRKELLJUNGA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46324</v>
      </c>
      <c r="F183" t="inlineStr">
        <is>
          <t>SKÅNE LÄN</t>
        </is>
      </c>
      <c r="G183" t="inlineStr">
        <is>
          <t>ÖRKELLJUNGA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14912-2024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45398</v>
      </c>
      <c r="E184" s="1" t="n">
        <v>46324</v>
      </c>
      <c r="F184" t="inlineStr">
        <is>
          <t>SKÅNE LÄN</t>
        </is>
      </c>
      <c r="G184" t="inlineStr">
        <is>
          <t>ÖRKELLJUNGA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46324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33796-2023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45133</v>
      </c>
      <c r="E186" s="1" t="n">
        <v>46324</v>
      </c>
      <c r="F186" t="inlineStr">
        <is>
          <t>SKÅNE LÄN</t>
        </is>
      </c>
      <c r="G186" t="inlineStr">
        <is>
          <t>ÖRKELLJUNGA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46324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46324</v>
      </c>
      <c r="F188" t="inlineStr">
        <is>
          <t>SKÅNE LÄN</t>
        </is>
      </c>
      <c r="G188" t="inlineStr">
        <is>
          <t>ÖRKELLJUNGA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46324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44895</v>
      </c>
      <c r="E190" s="1" t="n">
        <v>46324</v>
      </c>
      <c r="F190" t="inlineStr">
        <is>
          <t>SKÅNE LÄN</t>
        </is>
      </c>
      <c r="G190" t="inlineStr">
        <is>
          <t>ÖRKELLJUNGA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46324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50304-2023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45209</v>
      </c>
      <c r="E192" s="1" t="n">
        <v>46324</v>
      </c>
      <c r="F192" t="inlineStr">
        <is>
          <t>SKÅNE LÄN</t>
        </is>
      </c>
      <c r="G192" t="inlineStr">
        <is>
          <t>ÖRKELLJUNGA</t>
        </is>
      </c>
      <c r="I192" t="n">
        <v>17.9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45723</v>
      </c>
      <c r="E193" s="1" t="n">
        <v>46324</v>
      </c>
      <c r="F193" t="inlineStr">
        <is>
          <t>SKÅNE LÄN</t>
        </is>
      </c>
      <c r="G193" t="inlineStr">
        <is>
          <t>ÖRKELLJUNGA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46324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46324</v>
      </c>
      <c r="F195" t="inlineStr">
        <is>
          <t>SKÅNE LÄN</t>
        </is>
      </c>
      <c r="G195" t="inlineStr">
        <is>
          <t>ÖRKELLJUNGA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46324</v>
      </c>
      <c r="F196" t="inlineStr">
        <is>
          <t>SKÅNE LÄN</t>
        </is>
      </c>
      <c r="G196" t="inlineStr">
        <is>
          <t>ÖRKELLJUNGA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2399-2025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45672</v>
      </c>
      <c r="E197" s="1" t="n">
        <v>46324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45448</v>
      </c>
      <c r="E198" s="1" t="n">
        <v>46324</v>
      </c>
      <c r="F198" t="inlineStr">
        <is>
          <t>SKÅNE LÄN</t>
        </is>
      </c>
      <c r="G198" t="inlineStr">
        <is>
          <t>ÖRKELLJUNGA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46324</v>
      </c>
      <c r="F199" t="inlineStr">
        <is>
          <t>SKÅNE LÄN</t>
        </is>
      </c>
      <c r="G199" t="inlineStr">
        <is>
          <t>ÖRKELLJUNGA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46324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46324</v>
      </c>
      <c r="F201" t="inlineStr">
        <is>
          <t>SKÅNE LÄN</t>
        </is>
      </c>
      <c r="G201" t="inlineStr">
        <is>
          <t>ÖRKELLJUNGA</t>
        </is>
      </c>
      <c r="I201" t="n">
        <v>8.1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46324</v>
      </c>
      <c r="F202" t="inlineStr">
        <is>
          <t>SKÅNE LÄN</t>
        </is>
      </c>
      <c r="G202" t="inlineStr">
        <is>
          <t>ÖRKELLJUNGA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46324</v>
      </c>
      <c r="F203" t="inlineStr">
        <is>
          <t>SKÅNE LÄN</t>
        </is>
      </c>
      <c r="G203" t="inlineStr">
        <is>
          <t>ÖRKELLJUNGA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46324</v>
      </c>
      <c r="F204" t="inlineStr">
        <is>
          <t>SKÅNE LÄN</t>
        </is>
      </c>
      <c r="G204" t="inlineStr">
        <is>
          <t>ÖRKELLJUNGA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45435</v>
      </c>
      <c r="E205" s="1" t="n">
        <v>46324</v>
      </c>
      <c r="F205" t="inlineStr">
        <is>
          <t>SKÅNE LÄN</t>
        </is>
      </c>
      <c r="G205" t="inlineStr">
        <is>
          <t>ÖRKELLJUNGA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46324</v>
      </c>
      <c r="F206" t="inlineStr">
        <is>
          <t>SKÅNE LÄN</t>
        </is>
      </c>
      <c r="G206" t="inlineStr">
        <is>
          <t>ÖRKELLJUNGA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45171</v>
      </c>
      <c r="E207" s="1" t="n">
        <v>46324</v>
      </c>
      <c r="F207" t="inlineStr">
        <is>
          <t>SKÅNE LÄN</t>
        </is>
      </c>
      <c r="G207" t="inlineStr">
        <is>
          <t>ÖRKELLJUNGA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45124</v>
      </c>
      <c r="E208" s="1" t="n">
        <v>46324</v>
      </c>
      <c r="F208" t="inlineStr">
        <is>
          <t>SKÅNE LÄN</t>
        </is>
      </c>
      <c r="G208" t="inlineStr">
        <is>
          <t>ÖRKELLJUNGA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46324</v>
      </c>
      <c r="F209" t="inlineStr">
        <is>
          <t>SKÅNE LÄN</t>
        </is>
      </c>
      <c r="G209" t="inlineStr">
        <is>
          <t>ÖRKELLJUNGA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46324</v>
      </c>
      <c r="F210" t="inlineStr">
        <is>
          <t>SKÅNE LÄN</t>
        </is>
      </c>
      <c r="G210" t="inlineStr">
        <is>
          <t>ÖRKELLJUNGA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45305</v>
      </c>
      <c r="E211" s="1" t="n">
        <v>46324</v>
      </c>
      <c r="F211" t="inlineStr">
        <is>
          <t>SKÅNE LÄN</t>
        </is>
      </c>
      <c r="G211" t="inlineStr">
        <is>
          <t>ÖRKELLJUNGA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45305</v>
      </c>
      <c r="E212" s="1" t="n">
        <v>46324</v>
      </c>
      <c r="F212" t="inlineStr">
        <is>
          <t>SKÅNE LÄN</t>
        </is>
      </c>
      <c r="G212" t="inlineStr">
        <is>
          <t>ÖRKELLJUNGA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46324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45595</v>
      </c>
      <c r="E214" s="1" t="n">
        <v>46324</v>
      </c>
      <c r="F214" t="inlineStr">
        <is>
          <t>SKÅNE LÄN</t>
        </is>
      </c>
      <c r="G214" t="inlineStr">
        <is>
          <t>ÖRKELLJUNGA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46324</v>
      </c>
      <c r="F215" t="inlineStr">
        <is>
          <t>SKÅNE LÄN</t>
        </is>
      </c>
      <c r="G215" t="inlineStr">
        <is>
          <t>ÖRKELLJUNGA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46324</v>
      </c>
      <c r="F216" t="inlineStr">
        <is>
          <t>SKÅNE LÄN</t>
        </is>
      </c>
      <c r="G216" t="inlineStr">
        <is>
          <t>ÖRKELLJUNGA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45659</v>
      </c>
      <c r="E217" s="1" t="n">
        <v>46324</v>
      </c>
      <c r="F217" t="inlineStr">
        <is>
          <t>SKÅNE LÄN</t>
        </is>
      </c>
      <c r="G217" t="inlineStr">
        <is>
          <t>ÖRKELLJUNGA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57703-2022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46324</v>
      </c>
      <c r="F218" t="inlineStr">
        <is>
          <t>SKÅNE LÄN</t>
        </is>
      </c>
      <c r="G218" t="inlineStr">
        <is>
          <t>ÖRKELLJUNGA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45468</v>
      </c>
      <c r="E219" s="1" t="n">
        <v>46324</v>
      </c>
      <c r="F219" t="inlineStr">
        <is>
          <t>SKÅNE LÄN</t>
        </is>
      </c>
      <c r="G219" t="inlineStr">
        <is>
          <t>ÖRKELLJUNGA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46324</v>
      </c>
      <c r="F220" t="inlineStr">
        <is>
          <t>SKÅNE LÄN</t>
        </is>
      </c>
      <c r="G220" t="inlineStr">
        <is>
          <t>ÖRKELLJUNGA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46324</v>
      </c>
      <c r="F221" t="inlineStr">
        <is>
          <t>SKÅNE LÄN</t>
        </is>
      </c>
      <c r="G221" t="inlineStr">
        <is>
          <t>ÖRKELLJUNGA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46324</v>
      </c>
      <c r="F222" t="inlineStr">
        <is>
          <t>SKÅNE LÄN</t>
        </is>
      </c>
      <c r="G222" t="inlineStr">
        <is>
          <t>ÖRKELLJUNGA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45446</v>
      </c>
      <c r="E223" s="1" t="n">
        <v>46324</v>
      </c>
      <c r="F223" t="inlineStr">
        <is>
          <t>SKÅNE LÄN</t>
        </is>
      </c>
      <c r="G223" t="inlineStr">
        <is>
          <t>ÖRKELLJUNGA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46324</v>
      </c>
      <c r="F224" t="inlineStr">
        <is>
          <t>SKÅNE LÄN</t>
        </is>
      </c>
      <c r="G224" t="inlineStr">
        <is>
          <t>ÖRKELLJUNGA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46324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45235</v>
      </c>
      <c r="E226" s="1" t="n">
        <v>46324</v>
      </c>
      <c r="F226" t="inlineStr">
        <is>
          <t>SKÅNE LÄN</t>
        </is>
      </c>
      <c r="G226" t="inlineStr">
        <is>
          <t>ÖRKELLJUNGA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45278</v>
      </c>
      <c r="E227" s="1" t="n">
        <v>46324</v>
      </c>
      <c r="F227" t="inlineStr">
        <is>
          <t>SKÅNE LÄN</t>
        </is>
      </c>
      <c r="G227" t="inlineStr">
        <is>
          <t>ÖRKELLJUNGA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45855</v>
      </c>
      <c r="E228" s="1" t="n">
        <v>46324</v>
      </c>
      <c r="F228" t="inlineStr">
        <is>
          <t>SKÅNE LÄN</t>
        </is>
      </c>
      <c r="G228" t="inlineStr">
        <is>
          <t>ÖRKELLJUNGA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46324</v>
      </c>
      <c r="F229" t="inlineStr">
        <is>
          <t>SKÅNE LÄN</t>
        </is>
      </c>
      <c r="G229" t="inlineStr">
        <is>
          <t>ÖRKELLJUNGA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46324</v>
      </c>
      <c r="F230" t="inlineStr">
        <is>
          <t>SKÅNE LÄN</t>
        </is>
      </c>
      <c r="G230" t="inlineStr">
        <is>
          <t>ÖRKELLJUNGA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46324</v>
      </c>
      <c r="F231" t="inlineStr">
        <is>
          <t>SKÅNE LÄN</t>
        </is>
      </c>
      <c r="G231" t="inlineStr">
        <is>
          <t>ÖRKELLJUNGA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46324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46287</v>
      </c>
      <c r="E233" s="1" t="n">
        <v>46324</v>
      </c>
      <c r="F233" t="inlineStr">
        <is>
          <t>SKÅNE LÄN</t>
        </is>
      </c>
      <c r="G233" t="inlineStr">
        <is>
          <t>ÖRKELLJUNGA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44804</v>
      </c>
      <c r="E234" s="1" t="n">
        <v>46324</v>
      </c>
      <c r="F234" t="inlineStr">
        <is>
          <t>SKÅNE LÄN</t>
        </is>
      </c>
      <c r="G234" t="inlineStr">
        <is>
          <t>ÖRKELLJUNGA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46324</v>
      </c>
      <c r="F235" t="inlineStr">
        <is>
          <t>SKÅNE LÄN</t>
        </is>
      </c>
      <c r="G235" t="inlineStr">
        <is>
          <t>ÖRKELLJUNGA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46324</v>
      </c>
      <c r="F236" t="inlineStr">
        <is>
          <t>SKÅNE LÄN</t>
        </is>
      </c>
      <c r="G236" t="inlineStr">
        <is>
          <t>ÖRKELLJUNGA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46282</v>
      </c>
      <c r="E237" s="1" t="n">
        <v>46324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46324</v>
      </c>
      <c r="F238" t="inlineStr">
        <is>
          <t>SKÅNE LÄN</t>
        </is>
      </c>
      <c r="G238" t="inlineStr">
        <is>
          <t>ÖRKELLJUNGA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46324</v>
      </c>
      <c r="F239" t="inlineStr">
        <is>
          <t>SKÅNE LÄN</t>
        </is>
      </c>
      <c r="G239" t="inlineStr">
        <is>
          <t>ÖRKELLJUNGA</t>
        </is>
      </c>
      <c r="H239" t="inlineStr">
        <is>
          <t>Kyrkan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46287</v>
      </c>
      <c r="E240" s="1" t="n">
        <v>46324</v>
      </c>
      <c r="F240" t="inlineStr">
        <is>
          <t>SKÅNE LÄN</t>
        </is>
      </c>
      <c r="G240" t="inlineStr">
        <is>
          <t>ÖRKELLJUNGA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46324</v>
      </c>
      <c r="F241" t="inlineStr">
        <is>
          <t>SKÅNE LÄN</t>
        </is>
      </c>
      <c r="G241" t="inlineStr">
        <is>
          <t>ÖRKELLJUNGA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46324</v>
      </c>
      <c r="F242" t="inlineStr">
        <is>
          <t>SKÅNE LÄN</t>
        </is>
      </c>
      <c r="G242" t="inlineStr">
        <is>
          <t>ÖRKELLJUNGA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46288</v>
      </c>
      <c r="E243" s="1" t="n">
        <v>46324</v>
      </c>
      <c r="F243" t="inlineStr">
        <is>
          <t>SKÅNE LÄN</t>
        </is>
      </c>
      <c r="G243" t="inlineStr">
        <is>
          <t>ÖRKELLJUNGA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46324</v>
      </c>
      <c r="F244" t="inlineStr">
        <is>
          <t>SKÅNE LÄN</t>
        </is>
      </c>
      <c r="G244" t="inlineStr">
        <is>
          <t>ÖRKELLJUNGA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46324</v>
      </c>
      <c r="F245" t="inlineStr">
        <is>
          <t>SKÅNE LÄN</t>
        </is>
      </c>
      <c r="G245" t="inlineStr">
        <is>
          <t>ÖRKELLJUNGA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46324</v>
      </c>
      <c r="F246" t="inlineStr">
        <is>
          <t>SKÅNE LÄN</t>
        </is>
      </c>
      <c r="G246" t="inlineStr">
        <is>
          <t>ÖRKELLJUNGA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46324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44841</v>
      </c>
      <c r="E248" s="1" t="n">
        <v>46324</v>
      </c>
      <c r="F248" t="inlineStr">
        <is>
          <t>SKÅNE LÄN</t>
        </is>
      </c>
      <c r="G248" t="inlineStr">
        <is>
          <t>ÖRKELLJUNGA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46324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46324</v>
      </c>
      <c r="F250" t="inlineStr">
        <is>
          <t>SKÅNE LÄN</t>
        </is>
      </c>
      <c r="G250" t="inlineStr">
        <is>
          <t>ÖRKELLJUNGA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46293</v>
      </c>
      <c r="E251" s="1" t="n">
        <v>46324</v>
      </c>
      <c r="F251" t="inlineStr">
        <is>
          <t>SKÅNE LÄN</t>
        </is>
      </c>
      <c r="G251" t="inlineStr">
        <is>
          <t>ÖRKELLJUNGA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46290</v>
      </c>
      <c r="E252" s="1" t="n">
        <v>46324</v>
      </c>
      <c r="F252" t="inlineStr">
        <is>
          <t>SKÅNE LÄN</t>
        </is>
      </c>
      <c r="G252" t="inlineStr">
        <is>
          <t>ÖRKELLJUNGA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46324</v>
      </c>
      <c r="F253" t="inlineStr">
        <is>
          <t>SKÅNE LÄN</t>
        </is>
      </c>
      <c r="G253" t="inlineStr">
        <is>
          <t>ÖRKELLJUNGA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46324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46324</v>
      </c>
      <c r="F255" t="inlineStr">
        <is>
          <t>SKÅNE LÄN</t>
        </is>
      </c>
      <c r="G255" t="inlineStr">
        <is>
          <t>ÖRKELLJUNGA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39650-2023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45167</v>
      </c>
      <c r="E256" s="1" t="n">
        <v>46324</v>
      </c>
      <c r="F256" t="inlineStr">
        <is>
          <t>SKÅNE LÄN</t>
        </is>
      </c>
      <c r="G256" t="inlineStr">
        <is>
          <t>ÖRKELLJUNGA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45079</v>
      </c>
      <c r="E257" s="1" t="n">
        <v>46324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65211-2021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44515</v>
      </c>
      <c r="E258" s="1" t="n">
        <v>46324</v>
      </c>
      <c r="F258" t="inlineStr">
        <is>
          <t>SKÅNE LÄN</t>
        </is>
      </c>
      <c r="G258" t="inlineStr">
        <is>
          <t>ÖRKELLJUNGA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46324</v>
      </c>
      <c r="F259" t="inlineStr">
        <is>
          <t>SKÅNE LÄN</t>
        </is>
      </c>
      <c r="G259" t="inlineStr">
        <is>
          <t>ÖRKELLJUNGA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46324</v>
      </c>
      <c r="F260" t="inlineStr">
        <is>
          <t>SKÅNE LÄN</t>
        </is>
      </c>
      <c r="G260" t="inlineStr">
        <is>
          <t>ÖRKELLJUNGA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46324</v>
      </c>
      <c r="F261" t="inlineStr">
        <is>
          <t>SKÅNE LÄN</t>
        </is>
      </c>
      <c r="G261" t="inlineStr">
        <is>
          <t>ÖRKELLJUNGA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46324</v>
      </c>
      <c r="F262" t="inlineStr">
        <is>
          <t>SKÅNE LÄN</t>
        </is>
      </c>
      <c r="G262" t="inlineStr">
        <is>
          <t>ÖRKELLJUNGA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46301</v>
      </c>
      <c r="E263" s="1" t="n">
        <v>46324</v>
      </c>
      <c r="F263" t="inlineStr">
        <is>
          <t>SKÅNE LÄN</t>
        </is>
      </c>
      <c r="G263" t="inlineStr">
        <is>
          <t>ÖRKELLJUNGA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46324</v>
      </c>
      <c r="F264" t="inlineStr">
        <is>
          <t>SKÅNE LÄN</t>
        </is>
      </c>
      <c r="G264" t="inlineStr">
        <is>
          <t>ÖRKELLJUNGA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46301</v>
      </c>
      <c r="E265" s="1" t="n">
        <v>46324</v>
      </c>
      <c r="F265" t="inlineStr">
        <is>
          <t>SKÅNE LÄN</t>
        </is>
      </c>
      <c r="G265" t="inlineStr">
        <is>
          <t>ÖRKELLJUNGA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46259</v>
      </c>
      <c r="E266" s="1" t="n">
        <v>46324</v>
      </c>
      <c r="F266" t="inlineStr">
        <is>
          <t>SKÅNE LÄN</t>
        </is>
      </c>
      <c r="G266" t="inlineStr">
        <is>
          <t>ÖRKELLJUNGA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45178</v>
      </c>
      <c r="E267" s="1" t="n">
        <v>46324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46324</v>
      </c>
      <c r="F268" t="inlineStr">
        <is>
          <t>SKÅNE LÄN</t>
        </is>
      </c>
      <c r="G268" t="inlineStr">
        <is>
          <t>ÖRKELLJUNGA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46324</v>
      </c>
      <c r="F269" t="inlineStr">
        <is>
          <t>SKÅNE LÄN</t>
        </is>
      </c>
      <c r="G269" t="inlineStr">
        <is>
          <t>ÖRKELLJUNGA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46324</v>
      </c>
      <c r="F270" t="inlineStr">
        <is>
          <t>SKÅNE LÄN</t>
        </is>
      </c>
      <c r="G270" t="inlineStr">
        <is>
          <t>ÖRKELLJUNGA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46324</v>
      </c>
      <c r="F271" t="inlineStr">
        <is>
          <t>SKÅNE LÄN</t>
        </is>
      </c>
      <c r="G271" t="inlineStr">
        <is>
          <t>ÖRKELLJUNGA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46324</v>
      </c>
      <c r="F272" t="inlineStr">
        <is>
          <t>SKÅNE LÄN</t>
        </is>
      </c>
      <c r="G272" t="inlineStr">
        <is>
          <t>ÖRKELLJUNGA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46324</v>
      </c>
      <c r="F273" t="inlineStr">
        <is>
          <t>SKÅNE LÄN</t>
        </is>
      </c>
      <c r="G273" t="inlineStr">
        <is>
          <t>ÖRKELLJUNGA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45072</v>
      </c>
      <c r="E274" s="1" t="n">
        <v>46324</v>
      </c>
      <c r="F274" t="inlineStr">
        <is>
          <t>SKÅNE LÄN</t>
        </is>
      </c>
      <c r="G274" t="inlineStr">
        <is>
          <t>ÖRKELLJUNGA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45012</v>
      </c>
      <c r="E275" s="1" t="n">
        <v>46324</v>
      </c>
      <c r="F275" t="inlineStr">
        <is>
          <t>SKÅNE LÄN</t>
        </is>
      </c>
      <c r="G275" t="inlineStr">
        <is>
          <t>ÖRKELLJUNGA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64091-2023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46324</v>
      </c>
      <c r="F276" t="inlineStr">
        <is>
          <t>SKÅNE LÄN</t>
        </is>
      </c>
      <c r="G276" t="inlineStr">
        <is>
          <t>ÖRKELLJUNGA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46324</v>
      </c>
      <c r="F277" t="inlineStr">
        <is>
          <t>SKÅNE LÄN</t>
        </is>
      </c>
      <c r="G277" t="inlineStr">
        <is>
          <t>ÖRKELLJUNGA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44757</v>
      </c>
      <c r="E278" s="1" t="n">
        <v>46324</v>
      </c>
      <c r="F278" t="inlineStr">
        <is>
          <t>SKÅNE LÄN</t>
        </is>
      </c>
      <c r="G278" t="inlineStr">
        <is>
          <t>ÖRKELLJUNGA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46324</v>
      </c>
      <c r="F279" t="inlineStr">
        <is>
          <t>SKÅNE LÄN</t>
        </is>
      </c>
      <c r="G279" t="inlineStr">
        <is>
          <t>ÖRKELLJUNGA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37517-2026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46276</v>
      </c>
      <c r="E280" s="1" t="n">
        <v>46324</v>
      </c>
      <c r="F280" t="inlineStr">
        <is>
          <t>SKÅNE LÄN</t>
        </is>
      </c>
      <c r="G280" t="inlineStr">
        <is>
          <t>ÖRKELLJUNGA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45077</v>
      </c>
      <c r="E281" s="1" t="n">
        <v>46324</v>
      </c>
      <c r="F281" t="inlineStr">
        <is>
          <t>SKÅNE LÄN</t>
        </is>
      </c>
      <c r="G281" t="inlineStr">
        <is>
          <t>ÖRKELLJUNGA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45140</v>
      </c>
      <c r="E282" s="1" t="n">
        <v>46324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46280</v>
      </c>
      <c r="E283" s="1" t="n">
        <v>46324</v>
      </c>
      <c r="F283" t="inlineStr">
        <is>
          <t>SKÅNE LÄN</t>
        </is>
      </c>
      <c r="G283" t="inlineStr">
        <is>
          <t>ÖRKELLJUNGA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46280</v>
      </c>
      <c r="E284" s="1" t="n">
        <v>46324</v>
      </c>
      <c r="F284" t="inlineStr">
        <is>
          <t>SKÅNE LÄN</t>
        </is>
      </c>
      <c r="G284" t="inlineStr">
        <is>
          <t>ÖRKELLJUNGA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46324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46324</v>
      </c>
      <c r="F286" t="inlineStr">
        <is>
          <t>SKÅNE LÄN</t>
        </is>
      </c>
      <c r="G286" t="inlineStr">
        <is>
          <t>ÖRKELLJUNGA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46324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46324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46324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46324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46324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46324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1259-2022</t>
        </is>
      </c>
      <c r="B293" t="inlineStr">
        <is>
          <t>samrådsanmälan</t>
        </is>
      </c>
      <c r="C293" t="inlineStr">
        <is>
          <t>Skogsbilväg</t>
        </is>
      </c>
      <c r="D293" s="1" t="n">
        <v>44627</v>
      </c>
      <c r="E293" s="1" t="n">
        <v>46324</v>
      </c>
      <c r="F293" t="inlineStr">
        <is>
          <t>SKÅNE LÄN</t>
        </is>
      </c>
      <c r="G293" t="inlineStr">
        <is>
          <t>ÖRKELLJUNGA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46324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1070-2022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44613</v>
      </c>
      <c r="E295" s="1" t="n">
        <v>46324</v>
      </c>
      <c r="F295" t="inlineStr">
        <is>
          <t>SKÅNE LÄN</t>
        </is>
      </c>
      <c r="G295" t="inlineStr">
        <is>
          <t>ÖRKELLJUNGA</t>
        </is>
      </c>
      <c r="I295" t="n">
        <v>46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46324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46324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46324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46324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46324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46324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46324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46324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46324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2026-10-29T03:13:36Z</dcterms:created>
  <dcterms:modified xmlns:dcterms="http://purl.org/dc/terms/" xmlns:xsi="http://www.w3.org/2001/XMLSchema-instance" xsi:type="dcterms:W3CDTF">2026-10-29T03:13:37Z</dcterms:modified>
</cp:coreProperties>
</file>