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46221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s="2" t="inlineStr">
        <is>
          <t>Dvärghäxört
Skogsödla
Vanlig groda
Vanlig padda</t>
        </is>
      </c>
      <c r="V8">
        <f>HYPERLINK("https://klasma.github.io/Logging_1257/artfynd/A 39622-2023 artfynd.xlsx", "A 39622-2023")</f>
        <v/>
      </c>
      <c r="W8">
        <f>HYPERLINK("https://klasma.github.io/Logging_1257/kartor/A 39622-2023 karta.png", "A 39622-2023")</f>
        <v/>
      </c>
      <c r="Y8">
        <f>HYPERLINK("https://klasma.github.io/Logging_1257/klagomål/A 39622-2023 FSC-klagomål.docx", "A 39622-2023")</f>
        <v/>
      </c>
      <c r="Z8">
        <f>HYPERLINK("https://klasma.github.io/Logging_1257/klagomålsmail/A 39622-2023 FSC-klagomål mail.docx", "A 39622-2023")</f>
        <v/>
      </c>
      <c r="AA8">
        <f>HYPERLINK("https://klasma.github.io/Logging_1257/tillsyn/A 39622-2023 tillsynsbegäran.docx", "A 39622-2023")</f>
        <v/>
      </c>
      <c r="AB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46221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s="2" t="inlineStr">
        <is>
          <t>Småvänderot
Gröngöling
Utter
Vanlig padda</t>
        </is>
      </c>
      <c r="V9">
        <f>HYPERLINK("https://klasma.github.io/Logging_1257/artfynd/A 4112-2025 artfynd.xlsx", "A 4112-2025")</f>
        <v/>
      </c>
      <c r="W9">
        <f>HYPERLINK("https://klasma.github.io/Logging_1257/kartor/A 4112-2025 karta.png", "A 4112-2025")</f>
        <v/>
      </c>
      <c r="Y9">
        <f>HYPERLINK("https://klasma.github.io/Logging_1257/klagomål/A 4112-2025 FSC-klagomål.docx", "A 4112-2025")</f>
        <v/>
      </c>
      <c r="Z9">
        <f>HYPERLINK("https://klasma.github.io/Logging_1257/klagomålsmail/A 4112-2025 FSC-klagomål mail.docx", "A 4112-2025")</f>
        <v/>
      </c>
      <c r="AA9">
        <f>HYPERLINK("https://klasma.github.io/Logging_1257/tillsyn/A 4112-2025 tillsynsbegäran.docx", "A 4112-2025")</f>
        <v/>
      </c>
      <c r="AB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46221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s="2" t="inlineStr">
        <is>
          <t>Skogsalm
Hussvala
Ladusvala
Svart skogssnigel</t>
        </is>
      </c>
      <c r="V10">
        <f>HYPERLINK("https://klasma.github.io/Logging_1257/artfynd/A 5927-2023 artfynd.xlsx", "A 5927-2023")</f>
        <v/>
      </c>
      <c r="W10">
        <f>HYPERLINK("https://klasma.github.io/Logging_1257/kartor/A 5927-2023 karta.png", "A 5927-2023")</f>
        <v/>
      </c>
      <c r="Y10">
        <f>HYPERLINK("https://klasma.github.io/Logging_1257/klagomål/A 5927-2023 FSC-klagomål.docx", "A 5927-2023")</f>
        <v/>
      </c>
      <c r="Z10">
        <f>HYPERLINK("https://klasma.github.io/Logging_1257/klagomålsmail/A 5927-2023 FSC-klagomål mail.docx", "A 5927-2023")</f>
        <v/>
      </c>
      <c r="AA10">
        <f>HYPERLINK("https://klasma.github.io/Logging_1257/tillsyn/A 5927-2023 tillsynsbegäran.docx", "A 5927-2023")</f>
        <v/>
      </c>
      <c r="AB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46221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Bokkantlav
Guldlockmossa
Platt fjädermossa</t>
        </is>
      </c>
      <c r="V12">
        <f>HYPERLINK("https://klasma.github.io/Logging_1257/artfynd/A 25960-2023 artfynd.xlsx", "A 25960-2023")</f>
        <v/>
      </c>
      <c r="W12">
        <f>HYPERLINK("https://klasma.github.io/Logging_1257/kartor/A 25960-2023 karta.png", "A 25960-2023")</f>
        <v/>
      </c>
      <c r="Y12">
        <f>HYPERLINK("https://klasma.github.io/Logging_1257/klagomål/A 25960-2023 FSC-klagomål.docx", "A 25960-2023")</f>
        <v/>
      </c>
      <c r="Z12">
        <f>HYPERLINK("https://klasma.github.io/Logging_1257/klagomålsmail/A 25960-2023 FSC-klagomål mail.docx", "A 25960-2023")</f>
        <v/>
      </c>
      <c r="AA12">
        <f>HYPERLINK("https://klasma.github.io/Logging_1257/tillsyn/A 25960-2023 tillsynsbegäran.docx", "A 25960-2023")</f>
        <v/>
      </c>
      <c r="AB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s="2" t="inlineStr">
        <is>
          <t>Havstulpanlav
Klippfrullania
Västlig hakmossa</t>
        </is>
      </c>
      <c r="V13">
        <f>HYPERLINK("https://klasma.github.io/Logging_1257/artfynd/A 31926-2024 artfynd.xlsx", "A 31926-2024")</f>
        <v/>
      </c>
      <c r="W13">
        <f>HYPERLINK("https://klasma.github.io/Logging_1257/kartor/A 31926-2024 karta.png", "A 31926-2024")</f>
        <v/>
      </c>
      <c r="Y13">
        <f>HYPERLINK("https://klasma.github.io/Logging_1257/klagomål/A 31926-2024 FSC-klagomål.docx", "A 31926-2024")</f>
        <v/>
      </c>
      <c r="Z13">
        <f>HYPERLINK("https://klasma.github.io/Logging_1257/klagomålsmail/A 31926-2024 FSC-klagomål mail.docx", "A 31926-2024")</f>
        <v/>
      </c>
      <c r="AA13">
        <f>HYPERLINK("https://klasma.github.io/Logging_1257/tillsyn/A 31926-2024 tillsynsbegäran.docx", "A 31926-2024")</f>
        <v/>
      </c>
      <c r="AB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Y17">
        <f>HYPERLINK("https://klasma.github.io/Logging_1257/klagomål/A 50629-2025 FSC-klagomål.docx", "A 50629-2025")</f>
        <v/>
      </c>
      <c r="Z17">
        <f>HYPERLINK("https://klasma.github.io/Logging_1257/klagomålsmail/A 50629-2025 FSC-klagomål mail.docx", "A 50629-2025")</f>
        <v/>
      </c>
      <c r="AA17">
        <f>HYPERLINK("https://klasma.github.io/Logging_1257/tillsyn/A 50629-2025 tillsynsbegäran.docx", "A 50629-2025")</f>
        <v/>
      </c>
      <c r="AB17">
        <f>HYPERLINK("https://klasma.github.io/Logging_1257/tillsynsmail/A 50629-2025 tillsynsbegäran mail.docx", "A 50629-2025")</f>
        <v/>
      </c>
      <c r="AC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Y19">
        <f>HYPERLINK("https://klasma.github.io/Logging_1257/klagomål/A 60271-2024 FSC-klagomål.docx", "A 60271-2024")</f>
        <v/>
      </c>
      <c r="Z19">
        <f>HYPERLINK("https://klasma.github.io/Logging_1257/klagomålsmail/A 60271-2024 FSC-klagomål mail.docx", "A 60271-2024")</f>
        <v/>
      </c>
      <c r="AA19">
        <f>HYPERLINK("https://klasma.github.io/Logging_1257/tillsyn/A 60271-2024 tillsynsbegäran.docx", "A 60271-2024")</f>
        <v/>
      </c>
      <c r="AB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46221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Skorpplätt</t>
        </is>
      </c>
      <c r="V24">
        <f>HYPERLINK("https://klasma.github.io/Logging_1257/artfynd/A 6137-2024 artfynd.xlsx", "A 6137-2024")</f>
        <v/>
      </c>
      <c r="W24">
        <f>HYPERLINK("https://klasma.github.io/Logging_1257/kartor/A 6137-2024 karta.png", "A 6137-2024")</f>
        <v/>
      </c>
      <c r="Y24">
        <f>HYPERLINK("https://klasma.github.io/Logging_1257/klagomål/A 6137-2024 FSC-klagomål.docx", "A 6137-2024")</f>
        <v/>
      </c>
      <c r="Z24">
        <f>HYPERLINK("https://klasma.github.io/Logging_1257/klagomålsmail/A 6137-2024 FSC-klagomål mail.docx", "A 6137-2024")</f>
        <v/>
      </c>
      <c r="AA24">
        <f>HYPERLINK("https://klasma.github.io/Logging_1257/tillsyn/A 6137-2024 tillsynsbegäran.docx", "A 6137-2024")</f>
        <v/>
      </c>
      <c r="AB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46221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Skogsödla</t>
        </is>
      </c>
      <c r="V25">
        <f>HYPERLINK("https://klasma.github.io/Logging_1257/artfynd/A 10496-2026 artfynd.xlsx", "A 10496-2026")</f>
        <v/>
      </c>
      <c r="W25">
        <f>HYPERLINK("https://klasma.github.io/Logging_1257/kartor/A 10496-2026 karta.png", "A 10496-2026")</f>
        <v/>
      </c>
      <c r="Y25">
        <f>HYPERLINK("https://klasma.github.io/Logging_1257/klagomål/A 10496-2026 FSC-klagomål.docx", "A 10496-2026")</f>
        <v/>
      </c>
      <c r="Z25">
        <f>HYPERLINK("https://klasma.github.io/Logging_1257/klagomålsmail/A 10496-2026 FSC-klagomål mail.docx", "A 10496-2026")</f>
        <v/>
      </c>
      <c r="AA25">
        <f>HYPERLINK("https://klasma.github.io/Logging_1257/tillsyn/A 10496-2026 tillsynsbegäran.docx", "A 10496-2026")</f>
        <v/>
      </c>
      <c r="AB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46221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HYPERLINK("https://klasma.github.io/Logging_1257/artfynd/A 57429-2025 artfynd.xlsx", "A 57429-2025")</f>
        <v/>
      </c>
      <c r="W26">
        <f>HYPERLINK("https://klasma.github.io/Logging_1257/kartor/A 57429-2025 karta.png", "A 57429-2025")</f>
        <v/>
      </c>
      <c r="Y26">
        <f>HYPERLINK("https://klasma.github.io/Logging_1257/klagomål/A 57429-2025 FSC-klagomål.docx", "A 57429-2025")</f>
        <v/>
      </c>
      <c r="Z26">
        <f>HYPERLINK("https://klasma.github.io/Logging_1257/klagomålsmail/A 57429-2025 FSC-klagomål mail.docx", "A 57429-2025")</f>
        <v/>
      </c>
      <c r="AA26">
        <f>HYPERLINK("https://klasma.github.io/Logging_1257/tillsyn/A 57429-2025 tillsynsbegäran.docx", "A 57429-2025")</f>
        <v/>
      </c>
      <c r="AB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46221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HYPERLINK("https://klasma.github.io/Logging_1257/artfynd/A 22410-2024 artfynd.xlsx", "A 22410-2024")</f>
        <v/>
      </c>
      <c r="W27">
        <f>HYPERLINK("https://klasma.github.io/Logging_1257/kartor/A 22410-2024 karta.png", "A 22410-2024")</f>
        <v/>
      </c>
      <c r="Y27">
        <f>HYPERLINK("https://klasma.github.io/Logging_1257/klagomål/A 22410-2024 FSC-klagomål.docx", "A 22410-2024")</f>
        <v/>
      </c>
      <c r="Z27">
        <f>HYPERLINK("https://klasma.github.io/Logging_1257/klagomålsmail/A 22410-2024 FSC-klagomål mail.docx", "A 22410-2024")</f>
        <v/>
      </c>
      <c r="AA27">
        <f>HYPERLINK("https://klasma.github.io/Logging_1257/tillsyn/A 22410-2024 tillsynsbegäran.docx", "A 22410-2024")</f>
        <v/>
      </c>
      <c r="AB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46221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HYPERLINK("https://klasma.github.io/Logging_1257/artfynd/A 1604-2025 artfynd.xlsx", "A 1604-2025")</f>
        <v/>
      </c>
      <c r="W28">
        <f>HYPERLINK("https://klasma.github.io/Logging_1257/kartor/A 1604-2025 karta.png", "A 1604-2025")</f>
        <v/>
      </c>
      <c r="Y28">
        <f>HYPERLINK("https://klasma.github.io/Logging_1257/klagomål/A 1604-2025 FSC-klagomål.docx", "A 1604-2025")</f>
        <v/>
      </c>
      <c r="Z28">
        <f>HYPERLINK("https://klasma.github.io/Logging_1257/klagomålsmail/A 1604-2025 FSC-klagomål mail.docx", "A 1604-2025")</f>
        <v/>
      </c>
      <c r="AA28">
        <f>HYPERLINK("https://klasma.github.io/Logging_1257/tillsyn/A 1604-2025 tillsynsbegäran.docx", "A 1604-2025")</f>
        <v/>
      </c>
      <c r="AB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46221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Kambräken</t>
        </is>
      </c>
      <c r="V29">
        <f>HYPERLINK("https://klasma.github.io/Logging_1257/artfynd/A 15068-2023 artfynd.xlsx", "A 15068-2023")</f>
        <v/>
      </c>
      <c r="W29">
        <f>HYPERLINK("https://klasma.github.io/Logging_1257/kartor/A 15068-2023 karta.png", "A 15068-2023")</f>
        <v/>
      </c>
      <c r="Y29">
        <f>HYPERLINK("https://klasma.github.io/Logging_1257/klagomål/A 15068-2023 FSC-klagomål.docx", "A 15068-2023")</f>
        <v/>
      </c>
      <c r="Z29">
        <f>HYPERLINK("https://klasma.github.io/Logging_1257/klagomålsmail/A 15068-2023 FSC-klagomål mail.docx", "A 15068-2023")</f>
        <v/>
      </c>
      <c r="AA29">
        <f>HYPERLINK("https://klasma.github.io/Logging_1257/tillsyn/A 15068-2023 tillsynsbegäran.docx", "A 15068-2023")</f>
        <v/>
      </c>
      <c r="AB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Y30">
        <f>HYPERLINK("https://klasma.github.io/Logging_1257/klagomål/A 21867-2025 FSC-klagomål.docx", "A 21867-2025")</f>
        <v/>
      </c>
      <c r="Z30">
        <f>HYPERLINK("https://klasma.github.io/Logging_1257/klagomålsmail/A 21867-2025 FSC-klagomål mail.docx", "A 21867-2025")</f>
        <v/>
      </c>
      <c r="AA30">
        <f>HYPERLINK("https://klasma.github.io/Logging_1257/tillsyn/A 21867-2025 tillsynsbegäran.docx", "A 21867-2025")</f>
        <v/>
      </c>
      <c r="AB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46221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HYPERLINK("https://klasma.github.io/Logging_1257/artfynd/S 2731-2022 artfynd.xlsx", "S 2731-2022")</f>
        <v/>
      </c>
      <c r="W31">
        <f>HYPERLINK("https://klasma.github.io/Logging_1257/kartor/S 2731-2022 karta.png", "S 2731-2022")</f>
        <v/>
      </c>
      <c r="Y31">
        <f>HYPERLINK("https://klasma.github.io/Logging_1257/klagomål/S 2731-2022 FSC-klagomål.docx", "S 2731-2022")</f>
        <v/>
      </c>
      <c r="Z31">
        <f>HYPERLINK("https://klasma.github.io/Logging_1257/klagomålsmail/S 2731-2022 FSC-klagomål mail.docx", "S 2731-2022")</f>
        <v/>
      </c>
      <c r="AA31">
        <f>HYPERLINK("https://klasma.github.io/Logging_1257/tillsyn/S 2731-2022 tillsynsbegäran.docx", "S 2731-2022")</f>
        <v/>
      </c>
      <c r="AB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46221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HYPERLINK("https://klasma.github.io/Logging_1257/artfynd/S 2910-2024 artfynd.xlsx", "S 2910-2024")</f>
        <v/>
      </c>
      <c r="W32">
        <f>HYPERLINK("https://klasma.github.io/Logging_1257/kartor/S 2910-2024 karta.png", "S 2910-2024")</f>
        <v/>
      </c>
      <c r="Y32">
        <f>HYPERLINK("https://klasma.github.io/Logging_1257/klagomål/S 2910-2024 FSC-klagomål.docx", "S 2910-2024")</f>
        <v/>
      </c>
      <c r="Z32">
        <f>HYPERLINK("https://klasma.github.io/Logging_1257/klagomålsmail/S 2910-2024 FSC-klagomål mail.docx", "S 2910-2024")</f>
        <v/>
      </c>
      <c r="AA32">
        <f>HYPERLINK("https://klasma.github.io/Logging_1257/tillsyn/S 2910-2024 tillsynsbegäran.docx", "S 2910-2024")</f>
        <v/>
      </c>
      <c r="AB32">
        <f>HYPERLINK("https://klasma.github.io/Logging_1257/tillsynsmail/S 2910-2024 tillsynsbegäran mail.docx", "S 2910-2024")</f>
        <v/>
      </c>
      <c r="AC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46221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HYPERLINK("https://klasma.github.io/Logging_1257/artfynd/S 4056-2023 artfynd.xlsx", "S 4056-2023")</f>
        <v/>
      </c>
      <c r="W33">
        <f>HYPERLINK("https://klasma.github.io/Logging_1257/kartor/S 4056-2023 karta.png", "S 4056-2023")</f>
        <v/>
      </c>
      <c r="Y33">
        <f>HYPERLINK("https://klasma.github.io/Logging_1257/klagomål/S 4056-2023 FSC-klagomål.docx", "S 4056-2023")</f>
        <v/>
      </c>
      <c r="Z33">
        <f>HYPERLINK("https://klasma.github.io/Logging_1257/klagomålsmail/S 4056-2023 FSC-klagomål mail.docx", "S 4056-2023")</f>
        <v/>
      </c>
      <c r="AA33">
        <f>HYPERLINK("https://klasma.github.io/Logging_1257/tillsyn/S 4056-2023 tillsynsbegäran.docx", "S 4056-2023")</f>
        <v/>
      </c>
      <c r="AB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46221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46221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46221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46221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46221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46221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46221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46221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46221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46221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46221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46221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46221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46221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46221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46221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46221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46221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46221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46221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46221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46221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46221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46221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46221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46221</v>
      </c>
      <c r="F62" t="inlineStr">
        <is>
          <t>SKÅNE LÄN</t>
        </is>
      </c>
      <c r="G62" t="inlineStr">
        <is>
          <t>ÖRKELLJUNGA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46221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46221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46221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46221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46221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46221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46221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44880-2022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46221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57208-2022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46221</v>
      </c>
      <c r="F71" t="inlineStr">
        <is>
          <t>SKÅNE LÄN</t>
        </is>
      </c>
      <c r="G71" t="inlineStr">
        <is>
          <t>ÖRKELLJUNGA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46221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46221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33796-2023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46221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46221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46221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52528-2021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46221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36838-2024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46221</v>
      </c>
      <c r="F78" t="inlineStr">
        <is>
          <t>SKÅNE LÄN</t>
        </is>
      </c>
      <c r="G78" t="inlineStr">
        <is>
          <t>ÖRKELLJUNGA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46221</v>
      </c>
      <c r="F79" t="inlineStr">
        <is>
          <t>SKÅNE LÄN</t>
        </is>
      </c>
      <c r="G79" t="inlineStr">
        <is>
          <t>ÖRKELLJUNGA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46221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46043</v>
      </c>
      <c r="E81" s="1" t="n">
        <v>46221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46221</v>
      </c>
      <c r="F82" t="inlineStr">
        <is>
          <t>SKÅNE LÄN</t>
        </is>
      </c>
      <c r="G82" t="inlineStr">
        <is>
          <t>ÖRKELLJUNGA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46221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73830-2021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46221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46221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46221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46221</v>
      </c>
      <c r="F87" t="inlineStr">
        <is>
          <t>SKÅNE LÄN</t>
        </is>
      </c>
      <c r="G87" t="inlineStr">
        <is>
          <t>ÖRKELLJUNGA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46221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46221</v>
      </c>
      <c r="F89" t="inlineStr">
        <is>
          <t>SKÅNE LÄN</t>
        </is>
      </c>
      <c r="G89" t="inlineStr">
        <is>
          <t>ÖRKELLJUNGA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46221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28693-2025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46221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46221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46221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29642-2025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46221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46221</v>
      </c>
      <c r="F95" t="inlineStr">
        <is>
          <t>SKÅNE LÄN</t>
        </is>
      </c>
      <c r="G95" t="inlineStr">
        <is>
          <t>ÖRKELLJUNGA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46221</v>
      </c>
      <c r="F96" t="inlineStr">
        <is>
          <t>SKÅNE LÄN</t>
        </is>
      </c>
      <c r="G96" t="inlineStr">
        <is>
          <t>ÖRKELLJUNGA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46221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41926-2025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46221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46221</v>
      </c>
      <c r="F99" t="inlineStr">
        <is>
          <t>SKÅNE LÄN</t>
        </is>
      </c>
      <c r="G99" t="inlineStr">
        <is>
          <t>ÖRKELLJUNGA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46221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46221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46221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17270-2025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46221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22975-2023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46221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12038-2025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46221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46221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32704-2025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45839</v>
      </c>
      <c r="E107" s="1" t="n">
        <v>46221</v>
      </c>
      <c r="F107" t="inlineStr">
        <is>
          <t>SKÅNE LÄN</t>
        </is>
      </c>
      <c r="G107" t="inlineStr">
        <is>
          <t>ÖRKELLJUNGA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46221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46221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46221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46221</v>
      </c>
      <c r="F111" t="inlineStr">
        <is>
          <t>SKÅNE LÄN</t>
        </is>
      </c>
      <c r="G111" t="inlineStr">
        <is>
          <t>ÖRKELLJUNGA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46221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9359-2025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46221</v>
      </c>
      <c r="F113" t="inlineStr">
        <is>
          <t>SKÅNE LÄN</t>
        </is>
      </c>
      <c r="G113" t="inlineStr">
        <is>
          <t>ÖRKELLJUNGA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46221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46221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46221</v>
      </c>
      <c r="F116" t="inlineStr">
        <is>
          <t>SKÅNE LÄN</t>
        </is>
      </c>
      <c r="G116" t="inlineStr">
        <is>
          <t>ÖRKELLJUNGA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46221</v>
      </c>
      <c r="F117" t="inlineStr">
        <is>
          <t>SKÅNE LÄN</t>
        </is>
      </c>
      <c r="G117" t="inlineStr">
        <is>
          <t>ÖRKELLJUNGA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46221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42177-2023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45178</v>
      </c>
      <c r="E119" s="1" t="n">
        <v>46221</v>
      </c>
      <c r="F119" t="inlineStr">
        <is>
          <t>SKÅNE LÄN</t>
        </is>
      </c>
      <c r="G119" t="inlineStr">
        <is>
          <t>ÖRKELLJUNGA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30638-2023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46221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46221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46221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28221-2023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46221</v>
      </c>
      <c r="F123" t="inlineStr">
        <is>
          <t>SKÅNE LÄN</t>
        </is>
      </c>
      <c r="G123" t="inlineStr">
        <is>
          <t>ÖRKELLJUNGA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46221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8024-2026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46221</v>
      </c>
      <c r="F125" t="inlineStr">
        <is>
          <t>SKÅNE LÄN</t>
        </is>
      </c>
      <c r="G125" t="inlineStr">
        <is>
          <t>ÖRKELLJUNGA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46221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9292-2026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46221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9125-2026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46221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9105-2026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46221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46221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9127-2026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46221</v>
      </c>
      <c r="F131" t="inlineStr">
        <is>
          <t>SKÅNE LÄN</t>
        </is>
      </c>
      <c r="G131" t="inlineStr">
        <is>
          <t>ÖRKELLJUNGA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36543-2022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44804</v>
      </c>
      <c r="E132" s="1" t="n">
        <v>46221</v>
      </c>
      <c r="F132" t="inlineStr">
        <is>
          <t>SKÅNE LÄN</t>
        </is>
      </c>
      <c r="G132" t="inlineStr">
        <is>
          <t>ÖRKELLJUNGA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45695</v>
      </c>
      <c r="E133" s="1" t="n">
        <v>46221</v>
      </c>
      <c r="F133" t="inlineStr">
        <is>
          <t>SKÅNE LÄN</t>
        </is>
      </c>
      <c r="G133" t="inlineStr">
        <is>
          <t>ÖRKELLJUNGA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46221</v>
      </c>
      <c r="F134" t="inlineStr">
        <is>
          <t>SKÅNE LÄN</t>
        </is>
      </c>
      <c r="G134" t="inlineStr">
        <is>
          <t>ÖRKELLJUNGA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46221</v>
      </c>
      <c r="F135" t="inlineStr">
        <is>
          <t>SKÅNE LÄN</t>
        </is>
      </c>
      <c r="G135" t="inlineStr">
        <is>
          <t>ÖRKELLJUNGA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46221</v>
      </c>
      <c r="F136" t="inlineStr">
        <is>
          <t>SKÅNE LÄN</t>
        </is>
      </c>
      <c r="G136" t="inlineStr">
        <is>
          <t>ÖRKELLJUNGA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10473-2026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46221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10480-2026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46221</v>
      </c>
      <c r="F138" t="inlineStr">
        <is>
          <t>SKÅNE LÄN</t>
        </is>
      </c>
      <c r="G138" t="inlineStr">
        <is>
          <t>ÖRKELLJUNGA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46221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46221</v>
      </c>
      <c r="F140" t="inlineStr">
        <is>
          <t>SKÅNE LÄN</t>
        </is>
      </c>
      <c r="G140" t="inlineStr">
        <is>
          <t>ÖRKELLJUNGA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45077</v>
      </c>
      <c r="E141" s="1" t="n">
        <v>46221</v>
      </c>
      <c r="F141" t="inlineStr">
        <is>
          <t>SKÅNE LÄN</t>
        </is>
      </c>
      <c r="G141" t="inlineStr">
        <is>
          <t>ÖRKELLJUNGA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46221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23990-2023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46221</v>
      </c>
      <c r="F143" t="inlineStr">
        <is>
          <t>SKÅNE LÄN</t>
        </is>
      </c>
      <c r="G143" t="inlineStr">
        <is>
          <t>ÖRKELLJUNGA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46221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46221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52372-2021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44465</v>
      </c>
      <c r="E146" s="1" t="n">
        <v>46221</v>
      </c>
      <c r="F146" t="inlineStr">
        <is>
          <t>SKÅNE LÄN</t>
        </is>
      </c>
      <c r="G146" t="inlineStr">
        <is>
          <t>ÖRKELLJUNGA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45723</v>
      </c>
      <c r="E147" s="1" t="n">
        <v>46221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46221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46221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46221</v>
      </c>
      <c r="F150" t="inlineStr">
        <is>
          <t>SKÅNE LÄN</t>
        </is>
      </c>
      <c r="G150" t="inlineStr">
        <is>
          <t>ÖRKELLJUNGA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60789-2025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46221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46221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46221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14734-2026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46221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46221</v>
      </c>
      <c r="F155" t="inlineStr">
        <is>
          <t>SKÅNE LÄN</t>
        </is>
      </c>
      <c r="G155" t="inlineStr">
        <is>
          <t>ÖRKELLJUNGA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8204-2023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46221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46221</v>
      </c>
      <c r="F157" t="inlineStr">
        <is>
          <t>SKÅNE LÄN</t>
        </is>
      </c>
      <c r="G157" t="inlineStr">
        <is>
          <t>ÖRKELLJUNGA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15236-2026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46221</v>
      </c>
      <c r="F158" t="inlineStr">
        <is>
          <t>SKÅNE LÄN</t>
        </is>
      </c>
      <c r="G158" t="inlineStr">
        <is>
          <t>ÖRKELLJUNGA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15240-2026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46221</v>
      </c>
      <c r="F159" t="inlineStr">
        <is>
          <t>SKÅNE LÄN</t>
        </is>
      </c>
      <c r="G159" t="inlineStr">
        <is>
          <t>ÖRKELLJUNGA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46221</v>
      </c>
      <c r="F160" t="inlineStr">
        <is>
          <t>SKÅNE LÄN</t>
        </is>
      </c>
      <c r="G160" t="inlineStr">
        <is>
          <t>ÖRKELLJUNGA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46221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46221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15108-2026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46221</v>
      </c>
      <c r="F163" t="inlineStr">
        <is>
          <t>SKÅNE LÄN</t>
        </is>
      </c>
      <c r="G163" t="inlineStr">
        <is>
          <t>ÖRKELLJUNGA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46221</v>
      </c>
      <c r="F164" t="inlineStr">
        <is>
          <t>SKÅNE LÄN</t>
        </is>
      </c>
      <c r="G164" t="inlineStr">
        <is>
          <t>ÖRKELLJUNGA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46221</v>
      </c>
      <c r="F165" t="inlineStr">
        <is>
          <t>SKÅNE LÄN</t>
        </is>
      </c>
      <c r="G165" t="inlineStr">
        <is>
          <t>ÖRKELLJUNGA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46221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46221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46221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46221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46221</v>
      </c>
      <c r="F170" t="inlineStr">
        <is>
          <t>SKÅNE LÄN</t>
        </is>
      </c>
      <c r="G170" t="inlineStr">
        <is>
          <t>ÖRKELLJUNGA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14912-2024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45398</v>
      </c>
      <c r="E171" s="1" t="n">
        <v>46221</v>
      </c>
      <c r="F171" t="inlineStr">
        <is>
          <t>SKÅNE LÄN</t>
        </is>
      </c>
      <c r="G171" t="inlineStr">
        <is>
          <t>ÖRKELLJUNGA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17608-2026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46221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45308</v>
      </c>
      <c r="E173" s="1" t="n">
        <v>46221</v>
      </c>
      <c r="F173" t="inlineStr">
        <is>
          <t>SKÅNE LÄN</t>
        </is>
      </c>
      <c r="G173" t="inlineStr">
        <is>
          <t>ÖRKELLJUNGA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72261-2021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46221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46221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46221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46221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46221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46221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46221</v>
      </c>
      <c r="F180" t="inlineStr">
        <is>
          <t>SKÅNE LÄN</t>
        </is>
      </c>
      <c r="G180" t="inlineStr">
        <is>
          <t>ÖRKELLJUNGA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46221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46221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13611-2025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46221</v>
      </c>
      <c r="F183" t="inlineStr">
        <is>
          <t>SKÅNE LÄN</t>
        </is>
      </c>
      <c r="G183" t="inlineStr">
        <is>
          <t>ÖRKELLJUNGA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46221</v>
      </c>
      <c r="F184" t="inlineStr">
        <is>
          <t>SKÅNE LÄN</t>
        </is>
      </c>
      <c r="G184" t="inlineStr">
        <is>
          <t>ÖRKELLJUNGA</t>
        </is>
      </c>
      <c r="H184" t="inlineStr">
        <is>
          <t>Kyrkan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46221</v>
      </c>
      <c r="F185" t="inlineStr">
        <is>
          <t>SKÅNE LÄN</t>
        </is>
      </c>
      <c r="G185" t="inlineStr">
        <is>
          <t>ÖRKELLJUNGA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46221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9559-2022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46221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46221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50304-2023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45209</v>
      </c>
      <c r="E189" s="1" t="n">
        <v>46221</v>
      </c>
      <c r="F189" t="inlineStr">
        <is>
          <t>SKÅNE LÄN</t>
        </is>
      </c>
      <c r="G189" t="inlineStr">
        <is>
          <t>ÖRKELLJUNGA</t>
        </is>
      </c>
      <c r="I189" t="n">
        <v>17.9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26583-2026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46221</v>
      </c>
      <c r="F190" t="inlineStr">
        <is>
          <t>SKÅNE LÄN</t>
        </is>
      </c>
      <c r="G190" t="inlineStr">
        <is>
          <t>ÖRKELLJUNGA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44740</v>
      </c>
      <c r="E191" s="1" t="n">
        <v>46221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46221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46221</v>
      </c>
      <c r="F193" t="inlineStr">
        <is>
          <t>SKÅNE LÄN</t>
        </is>
      </c>
      <c r="G193" t="inlineStr">
        <is>
          <t>ÖRKELLJUNGA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26597-2026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46221</v>
      </c>
      <c r="F194" t="inlineStr">
        <is>
          <t>SKÅNE LÄN</t>
        </is>
      </c>
      <c r="G194" t="inlineStr">
        <is>
          <t>ÖRKELLJUNGA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46221</v>
      </c>
      <c r="F195" t="inlineStr">
        <is>
          <t>SKÅNE LÄN</t>
        </is>
      </c>
      <c r="G195" t="inlineStr">
        <is>
          <t>ÖRKELLJUNGA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35168-2025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46221</v>
      </c>
      <c r="F196" t="inlineStr">
        <is>
          <t>SKÅNE LÄN</t>
        </is>
      </c>
      <c r="G196" t="inlineStr">
        <is>
          <t>ÖRKELLJUNGA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46221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46221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46221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46221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45235</v>
      </c>
      <c r="E201" s="1" t="n">
        <v>46221</v>
      </c>
      <c r="F201" t="inlineStr">
        <is>
          <t>SKÅNE LÄN</t>
        </is>
      </c>
      <c r="G201" t="inlineStr">
        <is>
          <t>ÖRKELLJUNGA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20671-2026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46221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46221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27146-2026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46221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46221</v>
      </c>
      <c r="F205" t="inlineStr">
        <is>
          <t>SKÅNE LÄN</t>
        </is>
      </c>
      <c r="G205" t="inlineStr">
        <is>
          <t>ÖRKELLJUNGA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46221</v>
      </c>
      <c r="F206" t="inlineStr">
        <is>
          <t>SKÅNE LÄN</t>
        </is>
      </c>
      <c r="G206" t="inlineStr">
        <is>
          <t>ÖRKELLJUNGA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11121-2025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45723</v>
      </c>
      <c r="E207" s="1" t="n">
        <v>46221</v>
      </c>
      <c r="F207" t="inlineStr">
        <is>
          <t>SKÅNE LÄN</t>
        </is>
      </c>
      <c r="G207" t="inlineStr">
        <is>
          <t>ÖRKELLJUNGA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45305</v>
      </c>
      <c r="E208" s="1" t="n">
        <v>46221</v>
      </c>
      <c r="F208" t="inlineStr">
        <is>
          <t>SKÅNE LÄN</t>
        </is>
      </c>
      <c r="G208" t="inlineStr">
        <is>
          <t>ÖRKELLJUNGA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45305</v>
      </c>
      <c r="E209" s="1" t="n">
        <v>46221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9573-2025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46221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55049-2023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46221</v>
      </c>
      <c r="F211" t="inlineStr">
        <is>
          <t>SKÅNE LÄN</t>
        </is>
      </c>
      <c r="G211" t="inlineStr">
        <is>
          <t>ÖRKELLJUNGA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46221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54661-2023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46221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11605-2023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46221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37501-2024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46221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46221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46221</v>
      </c>
      <c r="F217" t="inlineStr">
        <is>
          <t>SKÅNE LÄN</t>
        </is>
      </c>
      <c r="G217" t="inlineStr">
        <is>
          <t>ÖRKELLJUNGA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22550-2026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46221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30136-2022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46221</v>
      </c>
      <c r="F219" t="inlineStr">
        <is>
          <t>SKÅNE LÄN</t>
        </is>
      </c>
      <c r="G219" t="inlineStr">
        <is>
          <t>ÖRKELLJUNGA</t>
        </is>
      </c>
      <c r="H219" t="inlineStr">
        <is>
          <t>Kyrkan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46221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46221</v>
      </c>
      <c r="F221" t="inlineStr">
        <is>
          <t>SKÅNE LÄN</t>
        </is>
      </c>
      <c r="G221" t="inlineStr">
        <is>
          <t>ÖRKELLJUNGA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46221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34631-2025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46221</v>
      </c>
      <c r="F223" t="inlineStr">
        <is>
          <t>SKÅNE LÄN</t>
        </is>
      </c>
      <c r="G223" t="inlineStr">
        <is>
          <t>ÖRKELLJUNGA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58284-2023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46221</v>
      </c>
      <c r="F224" t="inlineStr">
        <is>
          <t>SKÅNE LÄN</t>
        </is>
      </c>
      <c r="G224" t="inlineStr">
        <is>
          <t>ÖRKELLJUNGA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46221</v>
      </c>
      <c r="F225" t="inlineStr">
        <is>
          <t>SKÅNE LÄN</t>
        </is>
      </c>
      <c r="G225" t="inlineStr">
        <is>
          <t>ÖRKELLJUNGA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46221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57161-2022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46221</v>
      </c>
      <c r="F227" t="inlineStr">
        <is>
          <t>SKÅNE LÄN</t>
        </is>
      </c>
      <c r="G227" t="inlineStr">
        <is>
          <t>ÖRKELLJUNGA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46221</v>
      </c>
      <c r="F228" t="inlineStr">
        <is>
          <t>SKÅNE LÄN</t>
        </is>
      </c>
      <c r="G228" t="inlineStr">
        <is>
          <t>ÖRKELLJUNGA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47890-2022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46221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46221</v>
      </c>
      <c r="F230" t="inlineStr">
        <is>
          <t>SKÅNE LÄN</t>
        </is>
      </c>
      <c r="G230" t="inlineStr">
        <is>
          <t>ÖRKELLJUNGA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46221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46221</v>
      </c>
      <c r="F232" t="inlineStr">
        <is>
          <t>SKÅNE LÄN</t>
        </is>
      </c>
      <c r="G232" t="inlineStr">
        <is>
          <t>ÖRKELLJUNGA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29529-2026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46221</v>
      </c>
      <c r="F233" t="inlineStr">
        <is>
          <t>SKÅNE LÄN</t>
        </is>
      </c>
      <c r="G233" t="inlineStr">
        <is>
          <t>ÖRKELLJUNGA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31925-2024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46221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45672</v>
      </c>
      <c r="E235" s="1" t="n">
        <v>46221</v>
      </c>
      <c r="F235" t="inlineStr">
        <is>
          <t>SKÅNE LÄN</t>
        </is>
      </c>
      <c r="G235" t="inlineStr">
        <is>
          <t>ÖRKELLJUNGA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29335-2022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46221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46221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46221</v>
      </c>
      <c r="F238" t="inlineStr">
        <is>
          <t>SKÅNE LÄN</t>
        </is>
      </c>
      <c r="G238" t="inlineStr">
        <is>
          <t>ÖRKELLJUNGA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45048</v>
      </c>
      <c r="E239" s="1" t="n">
        <v>46221</v>
      </c>
      <c r="F239" t="inlineStr">
        <is>
          <t>SKÅNE LÄN</t>
        </is>
      </c>
      <c r="G239" t="inlineStr">
        <is>
          <t>ÖRKELLJUNGA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46221</v>
      </c>
      <c r="F240" t="inlineStr">
        <is>
          <t>SKÅNE LÄN</t>
        </is>
      </c>
      <c r="G240" t="inlineStr">
        <is>
          <t>ÖRKELLJUNGA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63029-2023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46221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46221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23692-2023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46221</v>
      </c>
      <c r="F243" t="inlineStr">
        <is>
          <t>SKÅNE LÄN</t>
        </is>
      </c>
      <c r="G243" t="inlineStr">
        <is>
          <t>ÖRKELLJUNGA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46221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46221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23898-2023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46221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53676-2025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46221</v>
      </c>
      <c r="F247" t="inlineStr">
        <is>
          <t>SKÅNE LÄN</t>
        </is>
      </c>
      <c r="G247" t="inlineStr">
        <is>
          <t>ÖRKELLJUNGA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46221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46221</v>
      </c>
      <c r="F249" t="inlineStr">
        <is>
          <t>SKÅNE LÄN</t>
        </is>
      </c>
      <c r="G249" t="inlineStr">
        <is>
          <t>ÖRKELLJUNGA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28980-2026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46221</v>
      </c>
      <c r="F250" t="inlineStr">
        <is>
          <t>SKÅNE LÄN</t>
        </is>
      </c>
      <c r="G250" t="inlineStr">
        <is>
          <t>ÖRKELLJUNGA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44846-2025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46221</v>
      </c>
      <c r="F251" t="inlineStr">
        <is>
          <t>SKÅNE LÄN</t>
        </is>
      </c>
      <c r="G251" t="inlineStr">
        <is>
          <t>ÖRKELLJUNGA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46221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25789-2026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46221</v>
      </c>
      <c r="F253" t="inlineStr">
        <is>
          <t>SKÅNE LÄN</t>
        </is>
      </c>
      <c r="G253" t="inlineStr">
        <is>
          <t>ÖRKELLJUNGA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46221</v>
      </c>
      <c r="F254" t="inlineStr">
        <is>
          <t>SKÅNE LÄN</t>
        </is>
      </c>
      <c r="G254" t="inlineStr">
        <is>
          <t>ÖRKELLJUNGA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46221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25772-2026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46221</v>
      </c>
      <c r="F256" t="inlineStr">
        <is>
          <t>SKÅNE LÄN</t>
        </is>
      </c>
      <c r="G256" t="inlineStr">
        <is>
          <t>ÖRKELLJUNGA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46221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46221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46221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25912-2026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46221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25962-2023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46221</v>
      </c>
      <c r="F261" t="inlineStr">
        <is>
          <t>SKÅNE LÄN</t>
        </is>
      </c>
      <c r="G261" t="inlineStr">
        <is>
          <t>ÖRKELLJUNGA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46221</v>
      </c>
      <c r="F262" t="inlineStr">
        <is>
          <t>SKÅNE LÄN</t>
        </is>
      </c>
      <c r="G262" t="inlineStr">
        <is>
          <t>ÖRKELLJUNGA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25501-2026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46221</v>
      </c>
      <c r="F263" t="inlineStr">
        <is>
          <t>SKÅNE LÄN</t>
        </is>
      </c>
      <c r="G263" t="inlineStr">
        <is>
          <t>ÖRKELLJUNGA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46221</v>
      </c>
      <c r="F264" t="inlineStr">
        <is>
          <t>SKÅNE LÄN</t>
        </is>
      </c>
      <c r="G264" t="inlineStr">
        <is>
          <t>ÖRKELLJUNGA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46221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46221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46221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46221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46221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46221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46221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46221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46221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46221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46221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46221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46221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46221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46221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46221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46221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46221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46221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46221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46221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46221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46221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46221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46221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46221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46221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46221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46221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46221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46221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46221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46221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46221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46221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2026-07-18T01:22:54Z</dcterms:modified>
</cp:coreProperties>
</file>