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45648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31926-2024</t>
        </is>
      </c>
      <c r="B3" s="1" t="n">
        <v>45510</v>
      </c>
      <c r="C3" s="1" t="n">
        <v>45648</v>
      </c>
      <c r="D3" t="inlineStr">
        <is>
          <t>SKÅNE LÄN</t>
        </is>
      </c>
      <c r="E3" t="inlineStr">
        <is>
          <t>ÖRKELLJUNGA</t>
        </is>
      </c>
      <c r="G3" t="n">
        <v>1.9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Havstulpanlav
Klippfrullania
Västlig hakmossa</t>
        </is>
      </c>
      <c r="S3">
        <f>HYPERLINK("https://klasma.github.io/Logging_1257/artfynd/A 31926-2024 artfynd.xlsx", "A 31926-2024")</f>
        <v/>
      </c>
      <c r="T3">
        <f>HYPERLINK("https://klasma.github.io/Logging_1257/kartor/A 31926-2024 karta.png", "A 31926-2024")</f>
        <v/>
      </c>
      <c r="V3">
        <f>HYPERLINK("https://klasma.github.io/Logging_1257/klagomål/A 31926-2024 FSC-klagomål.docx", "A 31926-2024")</f>
        <v/>
      </c>
      <c r="W3">
        <f>HYPERLINK("https://klasma.github.io/Logging_1257/klagomålsmail/A 31926-2024 FSC-klagomål mail.docx", "A 31926-2024")</f>
        <v/>
      </c>
      <c r="X3">
        <f>HYPERLINK("https://klasma.github.io/Logging_1257/tillsyn/A 31926-2024 tillsynsbegäran.docx", "A 31926-2024")</f>
        <v/>
      </c>
      <c r="Y3">
        <f>HYPERLINK("https://klasma.github.io/Logging_1257/tillsynsmail/A 31926-2024 tillsynsbegäran mail.docx", "A 31926-2024")</f>
        <v/>
      </c>
    </row>
    <row r="4" ht="15" customHeight="1">
      <c r="A4" t="inlineStr">
        <is>
          <t>A 31923-2024</t>
        </is>
      </c>
      <c r="B4" s="1" t="n">
        <v>45510</v>
      </c>
      <c r="C4" s="1" t="n">
        <v>45648</v>
      </c>
      <c r="D4" t="inlineStr">
        <is>
          <t>SKÅNE LÄN</t>
        </is>
      </c>
      <c r="E4" t="inlineStr">
        <is>
          <t>ÖRKELLJUNGA</t>
        </is>
      </c>
      <c r="G4" t="n">
        <v>3.3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Västlig hakmossa</t>
        </is>
      </c>
      <c r="S4">
        <f>HYPERLINK("https://klasma.github.io/Logging_1257/artfynd/A 31923-2024 artfynd.xlsx", "A 31923-2024")</f>
        <v/>
      </c>
      <c r="T4">
        <f>HYPERLINK("https://klasma.github.io/Logging_1257/kartor/A 31923-2024 karta.png", "A 31923-2024")</f>
        <v/>
      </c>
      <c r="V4">
        <f>HYPERLINK("https://klasma.github.io/Logging_1257/klagomål/A 31923-2024 FSC-klagomål.docx", "A 31923-2024")</f>
        <v/>
      </c>
      <c r="W4">
        <f>HYPERLINK("https://klasma.github.io/Logging_1257/klagomålsmail/A 31923-2024 FSC-klagomål mail.docx", "A 31923-2024")</f>
        <v/>
      </c>
      <c r="X4">
        <f>HYPERLINK("https://klasma.github.io/Logging_1257/tillsyn/A 31923-2024 tillsynsbegäran.docx", "A 31923-2024")</f>
        <v/>
      </c>
      <c r="Y4">
        <f>HYPERLINK("https://klasma.github.io/Logging_1257/tillsynsmail/A 31923-2024 tillsynsbegäran mail.docx", "A 31923-2024")</f>
        <v/>
      </c>
    </row>
    <row r="5" ht="15" customHeight="1">
      <c r="A5" t="inlineStr">
        <is>
          <t>A 51102-2019</t>
        </is>
      </c>
      <c r="B5" s="1" t="n">
        <v>43732</v>
      </c>
      <c r="C5" s="1" t="n">
        <v>45648</v>
      </c>
      <c r="D5" t="inlineStr">
        <is>
          <t>SKÅNE LÄN</t>
        </is>
      </c>
      <c r="E5" t="inlineStr">
        <is>
          <t>ÖRKELLJUNGA</t>
        </is>
      </c>
      <c r="G5" t="n">
        <v>15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HYPERLINK("https://klasma.github.io/Logging_1257/artfynd/A 51102-2019 artfynd.xlsx", "A 51102-2019")</f>
        <v/>
      </c>
      <c r="T5">
        <f>HYPERLINK("https://klasma.github.io/Logging_1257/kartor/A 51102-2019 karta.png", "A 51102-2019")</f>
        <v/>
      </c>
      <c r="V5">
        <f>HYPERLINK("https://klasma.github.io/Logging_1257/klagomål/A 51102-2019 FSC-klagomål.docx", "A 51102-2019")</f>
        <v/>
      </c>
      <c r="W5">
        <f>HYPERLINK("https://klasma.github.io/Logging_1257/klagomålsmail/A 51102-2019 FSC-klagomål mail.docx", "A 51102-2019")</f>
        <v/>
      </c>
      <c r="X5">
        <f>HYPERLINK("https://klasma.github.io/Logging_1257/tillsyn/A 51102-2019 tillsynsbegäran.docx", "A 51102-2019")</f>
        <v/>
      </c>
      <c r="Y5">
        <f>HYPERLINK("https://klasma.github.io/Logging_1257/tillsynsmail/A 51102-2019 tillsynsbegäran mail.docx", "A 51102-2019")</f>
        <v/>
      </c>
    </row>
    <row r="6" ht="15" customHeight="1">
      <c r="A6" t="inlineStr">
        <is>
          <t>A 65473-2021</t>
        </is>
      </c>
      <c r="B6" s="1" t="n">
        <v>44516</v>
      </c>
      <c r="C6" s="1" t="n">
        <v>45648</v>
      </c>
      <c r="D6" t="inlineStr">
        <is>
          <t>SKÅNE LÄN</t>
        </is>
      </c>
      <c r="E6" t="inlineStr">
        <is>
          <t>ÖRKELLJUNGA</t>
        </is>
      </c>
      <c r="G6" t="n">
        <v>0.5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Blåmossa</t>
        </is>
      </c>
      <c r="S6">
        <f>HYPERLINK("https://klasma.github.io/Logging_1257/artfynd/A 65473-2021 artfynd.xlsx", "A 65473-2021")</f>
        <v/>
      </c>
      <c r="T6">
        <f>HYPERLINK("https://klasma.github.io/Logging_1257/kartor/A 65473-2021 karta.png", "A 65473-2021")</f>
        <v/>
      </c>
      <c r="V6">
        <f>HYPERLINK("https://klasma.github.io/Logging_1257/klagomål/A 65473-2021 FSC-klagomål.docx", "A 65473-2021")</f>
        <v/>
      </c>
      <c r="W6">
        <f>HYPERLINK("https://klasma.github.io/Logging_1257/klagomålsmail/A 65473-2021 FSC-klagomål mail.docx", "A 65473-2021")</f>
        <v/>
      </c>
      <c r="X6">
        <f>HYPERLINK("https://klasma.github.io/Logging_1257/tillsyn/A 65473-2021 tillsynsbegäran.docx", "A 65473-2021")</f>
        <v/>
      </c>
      <c r="Y6">
        <f>HYPERLINK("https://klasma.github.io/Logging_1257/tillsynsmail/A 65473-2021 tillsynsbegäran mail.docx", "A 65473-2021")</f>
        <v/>
      </c>
    </row>
    <row r="7" ht="15" customHeight="1">
      <c r="A7" t="inlineStr">
        <is>
          <t>A 15068-2023</t>
        </is>
      </c>
      <c r="B7" s="1" t="n">
        <v>45015</v>
      </c>
      <c r="C7" s="1" t="n">
        <v>45648</v>
      </c>
      <c r="D7" t="inlineStr">
        <is>
          <t>SKÅNE LÄN</t>
        </is>
      </c>
      <c r="E7" t="inlineStr">
        <is>
          <t>ÖRKELLJUNGA</t>
        </is>
      </c>
      <c r="G7" t="n">
        <v>9.9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HYPERLINK("https://klasma.github.io/Logging_1257/artfynd/A 15068-2023 artfynd.xlsx", "A 15068-2023")</f>
        <v/>
      </c>
      <c r="T7">
        <f>HYPERLINK("https://klasma.github.io/Logging_1257/kartor/A 15068-2023 karta.png", "A 15068-2023")</f>
        <v/>
      </c>
      <c r="V7">
        <f>HYPERLINK("https://klasma.github.io/Logging_1257/klagomål/A 15068-2023 FSC-klagomål.docx", "A 15068-2023")</f>
        <v/>
      </c>
      <c r="W7">
        <f>HYPERLINK("https://klasma.github.io/Logging_1257/klagomålsmail/A 15068-2023 FSC-klagomål mail.docx", "A 15068-2023")</f>
        <v/>
      </c>
      <c r="X7">
        <f>HYPERLINK("https://klasma.github.io/Logging_1257/tillsyn/A 15068-2023 tillsynsbegäran.docx", "A 15068-2023")</f>
        <v/>
      </c>
      <c r="Y7">
        <f>HYPERLINK("https://klasma.github.io/Logging_1257/tillsynsmail/A 15068-2023 tillsynsbegäran mail.docx", "A 15068-2023")</f>
        <v/>
      </c>
    </row>
    <row r="8" ht="15" customHeight="1">
      <c r="A8" t="inlineStr">
        <is>
          <t>A 18822-2019</t>
        </is>
      </c>
      <c r="B8" s="1" t="n">
        <v>43563</v>
      </c>
      <c r="C8" s="1" t="n">
        <v>45648</v>
      </c>
      <c r="D8" t="inlineStr">
        <is>
          <t>SKÅNE LÄN</t>
        </is>
      </c>
      <c r="E8" t="inlineStr">
        <is>
          <t>ÖRKELLJUNGA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19607-2019</t>
        </is>
      </c>
      <c r="B9" s="1" t="n">
        <v>43566</v>
      </c>
      <c r="C9" s="1" t="n">
        <v>45648</v>
      </c>
      <c r="D9" t="inlineStr">
        <is>
          <t>SKÅNE LÄN</t>
        </is>
      </c>
      <c r="E9" t="inlineStr">
        <is>
          <t>ÖRKELLJUNGA</t>
        </is>
      </c>
      <c r="G9" t="n">
        <v>6.2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21558-2019</t>
        </is>
      </c>
      <c r="B10" s="1" t="n">
        <v>43580</v>
      </c>
      <c r="C10" s="1" t="n">
        <v>45648</v>
      </c>
      <c r="D10" t="inlineStr">
        <is>
          <t>SKÅNE LÄN</t>
        </is>
      </c>
      <c r="E10" t="inlineStr">
        <is>
          <t>ÖRKELLJUNGA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27705-2019</t>
        </is>
      </c>
      <c r="B11" s="1" t="n">
        <v>43619</v>
      </c>
      <c r="C11" s="1" t="n">
        <v>45648</v>
      </c>
      <c r="D11" t="inlineStr">
        <is>
          <t>SKÅNE LÄN</t>
        </is>
      </c>
      <c r="E11" t="inlineStr">
        <is>
          <t>ÖRKELLJUNGA</t>
        </is>
      </c>
      <c r="G11" t="n">
        <v>3.9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29943-2019</t>
        </is>
      </c>
      <c r="B12" s="1" t="n">
        <v>43629</v>
      </c>
      <c r="C12" s="1" t="n">
        <v>45648</v>
      </c>
      <c r="D12" t="inlineStr">
        <is>
          <t>SKÅNE LÄN</t>
        </is>
      </c>
      <c r="E12" t="inlineStr">
        <is>
          <t>ÖRKELLJUNGA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29849-2019</t>
        </is>
      </c>
      <c r="B13" s="1" t="n">
        <v>43633</v>
      </c>
      <c r="C13" s="1" t="n">
        <v>45648</v>
      </c>
      <c r="D13" t="inlineStr">
        <is>
          <t>SKÅNE LÄN</t>
        </is>
      </c>
      <c r="E13" t="inlineStr">
        <is>
          <t>ÖRKELLJUNGA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31433-2019</t>
        </is>
      </c>
      <c r="B14" s="1" t="n">
        <v>43641</v>
      </c>
      <c r="C14" s="1" t="n">
        <v>45648</v>
      </c>
      <c r="D14" t="inlineStr">
        <is>
          <t>SKÅNE LÄN</t>
        </is>
      </c>
      <c r="E14" t="inlineStr">
        <is>
          <t>ÖRKELLJUNGA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31784-2019</t>
        </is>
      </c>
      <c r="B15" s="1" t="n">
        <v>43641</v>
      </c>
      <c r="C15" s="1" t="n">
        <v>45648</v>
      </c>
      <c r="D15" t="inlineStr">
        <is>
          <t>SKÅNE LÄN</t>
        </is>
      </c>
      <c r="E15" t="inlineStr">
        <is>
          <t>ÖRKELLJUNGA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32620-2019</t>
        </is>
      </c>
      <c r="B16" s="1" t="n">
        <v>43647</v>
      </c>
      <c r="C16" s="1" t="n">
        <v>45648</v>
      </c>
      <c r="D16" t="inlineStr">
        <is>
          <t>SKÅNE LÄN</t>
        </is>
      </c>
      <c r="E16" t="inlineStr">
        <is>
          <t>ÖRKELLJUNGA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32624-2019</t>
        </is>
      </c>
      <c r="B17" s="1" t="n">
        <v>43647</v>
      </c>
      <c r="C17" s="1" t="n">
        <v>45648</v>
      </c>
      <c r="D17" t="inlineStr">
        <is>
          <t>SKÅNE LÄN</t>
        </is>
      </c>
      <c r="E17" t="inlineStr">
        <is>
          <t>ÖRKELLJUNGA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36243-2019</t>
        </is>
      </c>
      <c r="B18" s="1" t="n">
        <v>43660</v>
      </c>
      <c r="C18" s="1" t="n">
        <v>45648</v>
      </c>
      <c r="D18" t="inlineStr">
        <is>
          <t>SKÅNE LÄN</t>
        </is>
      </c>
      <c r="E18" t="inlineStr">
        <is>
          <t>ÖRKELLJUNGA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41580-2019</t>
        </is>
      </c>
      <c r="B19" s="1" t="n">
        <v>43699</v>
      </c>
      <c r="C19" s="1" t="n">
        <v>45648</v>
      </c>
      <c r="D19" t="inlineStr">
        <is>
          <t>SKÅNE LÄN</t>
        </is>
      </c>
      <c r="E19" t="inlineStr">
        <is>
          <t>ÖRKELLJUNGA</t>
        </is>
      </c>
      <c r="G19" t="n">
        <v>5.7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44573-2019</t>
        </is>
      </c>
      <c r="B20" s="1" t="n">
        <v>43706</v>
      </c>
      <c r="C20" s="1" t="n">
        <v>45648</v>
      </c>
      <c r="D20" t="inlineStr">
        <is>
          <t>SKÅNE LÄN</t>
        </is>
      </c>
      <c r="E20" t="inlineStr">
        <is>
          <t>ÖRKELLJUNGA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45069-2019</t>
        </is>
      </c>
      <c r="B21" s="1" t="n">
        <v>43713</v>
      </c>
      <c r="C21" s="1" t="n">
        <v>45648</v>
      </c>
      <c r="D21" t="inlineStr">
        <is>
          <t>SKÅNE LÄN</t>
        </is>
      </c>
      <c r="E21" t="inlineStr">
        <is>
          <t>ÖRKELLJUNGA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48843-2019</t>
        </is>
      </c>
      <c r="B22" s="1" t="n">
        <v>43728</v>
      </c>
      <c r="C22" s="1" t="n">
        <v>45648</v>
      </c>
      <c r="D22" t="inlineStr">
        <is>
          <t>SKÅNE LÄN</t>
        </is>
      </c>
      <c r="E22" t="inlineStr">
        <is>
          <t>ÖRKELLJUNGA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50017-2019</t>
        </is>
      </c>
      <c r="B23" s="1" t="n">
        <v>43734</v>
      </c>
      <c r="C23" s="1" t="n">
        <v>45648</v>
      </c>
      <c r="D23" t="inlineStr">
        <is>
          <t>SKÅNE LÄN</t>
        </is>
      </c>
      <c r="E23" t="inlineStr">
        <is>
          <t>ÖRKELLJUNGA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52531-2019</t>
        </is>
      </c>
      <c r="B24" s="1" t="n">
        <v>43745</v>
      </c>
      <c r="C24" s="1" t="n">
        <v>45648</v>
      </c>
      <c r="D24" t="inlineStr">
        <is>
          <t>SKÅNE LÄN</t>
        </is>
      </c>
      <c r="E24" t="inlineStr">
        <is>
          <t>ÖRKELLJUNGA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53298-2019</t>
        </is>
      </c>
      <c r="B25" s="1" t="n">
        <v>43748</v>
      </c>
      <c r="C25" s="1" t="n">
        <v>45648</v>
      </c>
      <c r="D25" t="inlineStr">
        <is>
          <t>SKÅNE LÄN</t>
        </is>
      </c>
      <c r="E25" t="inlineStr">
        <is>
          <t>ÖRKELLJUNGA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53242-2019</t>
        </is>
      </c>
      <c r="B26" s="1" t="n">
        <v>43748</v>
      </c>
      <c r="C26" s="1" t="n">
        <v>45648</v>
      </c>
      <c r="D26" t="inlineStr">
        <is>
          <t>SKÅNE LÄN</t>
        </is>
      </c>
      <c r="E26" t="inlineStr">
        <is>
          <t>ÖRKELLJUNGA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54662-2019</t>
        </is>
      </c>
      <c r="B27" s="1" t="n">
        <v>43754</v>
      </c>
      <c r="C27" s="1" t="n">
        <v>45648</v>
      </c>
      <c r="D27" t="inlineStr">
        <is>
          <t>SKÅNE LÄN</t>
        </is>
      </c>
      <c r="E27" t="inlineStr">
        <is>
          <t>ÖRKELLJUNGA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56248-2019</t>
        </is>
      </c>
      <c r="B28" s="1" t="n">
        <v>43762</v>
      </c>
      <c r="C28" s="1" t="n">
        <v>45648</v>
      </c>
      <c r="D28" t="inlineStr">
        <is>
          <t>SKÅNE LÄN</t>
        </is>
      </c>
      <c r="E28" t="inlineStr">
        <is>
          <t>ÖRKELLJUNGA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59818-2019</t>
        </is>
      </c>
      <c r="B29" s="1" t="n">
        <v>43777</v>
      </c>
      <c r="C29" s="1" t="n">
        <v>45648</v>
      </c>
      <c r="D29" t="inlineStr">
        <is>
          <t>SKÅNE LÄN</t>
        </is>
      </c>
      <c r="E29" t="inlineStr">
        <is>
          <t>ÖRKELLJUNGA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60486-2019</t>
        </is>
      </c>
      <c r="B30" s="1" t="n">
        <v>43780</v>
      </c>
      <c r="C30" s="1" t="n">
        <v>45648</v>
      </c>
      <c r="D30" t="inlineStr">
        <is>
          <t>SKÅNE LÄN</t>
        </is>
      </c>
      <c r="E30" t="inlineStr">
        <is>
          <t>ÖRKELLJUNGA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61490-2019</t>
        </is>
      </c>
      <c r="B31" s="1" t="n">
        <v>43783</v>
      </c>
      <c r="C31" s="1" t="n">
        <v>45648</v>
      </c>
      <c r="D31" t="inlineStr">
        <is>
          <t>SKÅNE LÄN</t>
        </is>
      </c>
      <c r="E31" t="inlineStr">
        <is>
          <t>ÖRKELLJUNGA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61487-2019</t>
        </is>
      </c>
      <c r="B32" s="1" t="n">
        <v>43783</v>
      </c>
      <c r="C32" s="1" t="n">
        <v>45648</v>
      </c>
      <c r="D32" t="inlineStr">
        <is>
          <t>SKÅNE LÄN</t>
        </is>
      </c>
      <c r="E32" t="inlineStr">
        <is>
          <t>ÖRKELLJUNGA</t>
        </is>
      </c>
      <c r="G32" t="n">
        <v>5.1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62947-2019</t>
        </is>
      </c>
      <c r="B33" s="1" t="n">
        <v>43790</v>
      </c>
      <c r="C33" s="1" t="n">
        <v>45648</v>
      </c>
      <c r="D33" t="inlineStr">
        <is>
          <t>SKÅNE LÄN</t>
        </is>
      </c>
      <c r="E33" t="inlineStr">
        <is>
          <t>ÖRKELLJUNGA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62784-2019</t>
        </is>
      </c>
      <c r="B34" s="1" t="n">
        <v>43790</v>
      </c>
      <c r="C34" s="1" t="n">
        <v>45648</v>
      </c>
      <c r="D34" t="inlineStr">
        <is>
          <t>SKÅNE LÄN</t>
        </is>
      </c>
      <c r="E34" t="inlineStr">
        <is>
          <t>ÖRKELLJUNGA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66943-2019</t>
        </is>
      </c>
      <c r="B35" s="1" t="n">
        <v>43810</v>
      </c>
      <c r="C35" s="1" t="n">
        <v>45648</v>
      </c>
      <c r="D35" t="inlineStr">
        <is>
          <t>SKÅNE LÄN</t>
        </is>
      </c>
      <c r="E35" t="inlineStr">
        <is>
          <t>ÖRKELLJUNGA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67050-2019</t>
        </is>
      </c>
      <c r="B36" s="1" t="n">
        <v>43811</v>
      </c>
      <c r="C36" s="1" t="n">
        <v>45648</v>
      </c>
      <c r="D36" t="inlineStr">
        <is>
          <t>SKÅNE LÄN</t>
        </is>
      </c>
      <c r="E36" t="inlineStr">
        <is>
          <t>ÖRKELLJUNGA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67048-2019</t>
        </is>
      </c>
      <c r="B37" s="1" t="n">
        <v>43811</v>
      </c>
      <c r="C37" s="1" t="n">
        <v>45648</v>
      </c>
      <c r="D37" t="inlineStr">
        <is>
          <t>SKÅNE LÄN</t>
        </is>
      </c>
      <c r="E37" t="inlineStr">
        <is>
          <t>ÖRKELLJUNGA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68977-2019</t>
        </is>
      </c>
      <c r="B38" s="1" t="n">
        <v>43824</v>
      </c>
      <c r="C38" s="1" t="n">
        <v>45648</v>
      </c>
      <c r="D38" t="inlineStr">
        <is>
          <t>SKÅNE LÄN</t>
        </is>
      </c>
      <c r="E38" t="inlineStr">
        <is>
          <t>ÖRKELLJUNGA</t>
        </is>
      </c>
      <c r="G38" t="n">
        <v>5.9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1081-2020</t>
        </is>
      </c>
      <c r="B39" s="1" t="n">
        <v>43840</v>
      </c>
      <c r="C39" s="1" t="n">
        <v>45648</v>
      </c>
      <c r="D39" t="inlineStr">
        <is>
          <t>SKÅNE LÄN</t>
        </is>
      </c>
      <c r="E39" t="inlineStr">
        <is>
          <t>ÖRKELLJUNGA</t>
        </is>
      </c>
      <c r="G39" t="n">
        <v>3.9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4669-2020</t>
        </is>
      </c>
      <c r="B40" s="1" t="n">
        <v>43852</v>
      </c>
      <c r="C40" s="1" t="n">
        <v>45648</v>
      </c>
      <c r="D40" t="inlineStr">
        <is>
          <t>SKÅNE LÄN</t>
        </is>
      </c>
      <c r="E40" t="inlineStr">
        <is>
          <t>ÖRKELLJUNGA</t>
        </is>
      </c>
      <c r="G40" t="n">
        <v>5.7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4085-2020</t>
        </is>
      </c>
      <c r="B41" s="1" t="n">
        <v>43857</v>
      </c>
      <c r="C41" s="1" t="n">
        <v>45648</v>
      </c>
      <c r="D41" t="inlineStr">
        <is>
          <t>SKÅNE LÄN</t>
        </is>
      </c>
      <c r="E41" t="inlineStr">
        <is>
          <t>ÖRKELLJUNGA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7401-2020</t>
        </is>
      </c>
      <c r="B42" s="1" t="n">
        <v>43871</v>
      </c>
      <c r="C42" s="1" t="n">
        <v>45648</v>
      </c>
      <c r="D42" t="inlineStr">
        <is>
          <t>SKÅNE LÄN</t>
        </is>
      </c>
      <c r="E42" t="inlineStr">
        <is>
          <t>ÖRKELLJUNGA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11436-2020</t>
        </is>
      </c>
      <c r="B43" s="1" t="n">
        <v>43893</v>
      </c>
      <c r="C43" s="1" t="n">
        <v>45648</v>
      </c>
      <c r="D43" t="inlineStr">
        <is>
          <t>SKÅNE LÄN</t>
        </is>
      </c>
      <c r="E43" t="inlineStr">
        <is>
          <t>ÖRKELLJUNGA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12278-2020</t>
        </is>
      </c>
      <c r="B44" s="1" t="n">
        <v>43895</v>
      </c>
      <c r="C44" s="1" t="n">
        <v>45648</v>
      </c>
      <c r="D44" t="inlineStr">
        <is>
          <t>SKÅNE LÄN</t>
        </is>
      </c>
      <c r="E44" t="inlineStr">
        <is>
          <t>ÖRKELLJUNGA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12283-2020</t>
        </is>
      </c>
      <c r="B45" s="1" t="n">
        <v>43895</v>
      </c>
      <c r="C45" s="1" t="n">
        <v>45648</v>
      </c>
      <c r="D45" t="inlineStr">
        <is>
          <t>SKÅNE LÄN</t>
        </is>
      </c>
      <c r="E45" t="inlineStr">
        <is>
          <t>ÖRKELLJUNGA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12281-2020</t>
        </is>
      </c>
      <c r="B46" s="1" t="n">
        <v>43895</v>
      </c>
      <c r="C46" s="1" t="n">
        <v>45648</v>
      </c>
      <c r="D46" t="inlineStr">
        <is>
          <t>SKÅNE LÄN</t>
        </is>
      </c>
      <c r="E46" t="inlineStr">
        <is>
          <t>ÖRKELLJUNGA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19126-2020</t>
        </is>
      </c>
      <c r="B47" s="1" t="n">
        <v>43936</v>
      </c>
      <c r="C47" s="1" t="n">
        <v>45648</v>
      </c>
      <c r="D47" t="inlineStr">
        <is>
          <t>SKÅNE LÄN</t>
        </is>
      </c>
      <c r="E47" t="inlineStr">
        <is>
          <t>ÖRKELLJUNGA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20052-2020</t>
        </is>
      </c>
      <c r="B48" s="1" t="n">
        <v>43942</v>
      </c>
      <c r="C48" s="1" t="n">
        <v>45648</v>
      </c>
      <c r="D48" t="inlineStr">
        <is>
          <t>SKÅNE LÄN</t>
        </is>
      </c>
      <c r="E48" t="inlineStr">
        <is>
          <t>ÖRKELLJUNGA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21318-2020</t>
        </is>
      </c>
      <c r="B49" s="1" t="n">
        <v>43955</v>
      </c>
      <c r="C49" s="1" t="n">
        <v>45648</v>
      </c>
      <c r="D49" t="inlineStr">
        <is>
          <t>SKÅNE LÄN</t>
        </is>
      </c>
      <c r="E49" t="inlineStr">
        <is>
          <t>ÖRKELLJUNGA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21396-2020</t>
        </is>
      </c>
      <c r="B50" s="1" t="n">
        <v>43955</v>
      </c>
      <c r="C50" s="1" t="n">
        <v>45648</v>
      </c>
      <c r="D50" t="inlineStr">
        <is>
          <t>SKÅNE LÄN</t>
        </is>
      </c>
      <c r="E50" t="inlineStr">
        <is>
          <t>ÖRKELLJUNGA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22312-2020</t>
        </is>
      </c>
      <c r="B51" s="1" t="n">
        <v>43962</v>
      </c>
      <c r="C51" s="1" t="n">
        <v>45648</v>
      </c>
      <c r="D51" t="inlineStr">
        <is>
          <t>SKÅNE LÄN</t>
        </is>
      </c>
      <c r="E51" t="inlineStr">
        <is>
          <t>ÖRKELLJUNGA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22870-2020</t>
        </is>
      </c>
      <c r="B52" s="1" t="n">
        <v>43964</v>
      </c>
      <c r="C52" s="1" t="n">
        <v>45648</v>
      </c>
      <c r="D52" t="inlineStr">
        <is>
          <t>SKÅNE LÄN</t>
        </is>
      </c>
      <c r="E52" t="inlineStr">
        <is>
          <t>ÖRKELLJUNGA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23043-2020</t>
        </is>
      </c>
      <c r="B53" s="1" t="n">
        <v>43965</v>
      </c>
      <c r="C53" s="1" t="n">
        <v>45648</v>
      </c>
      <c r="D53" t="inlineStr">
        <is>
          <t>SKÅNE LÄN</t>
        </is>
      </c>
      <c r="E53" t="inlineStr">
        <is>
          <t>ÖRKELLJUNGA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23787-2020</t>
        </is>
      </c>
      <c r="B54" s="1" t="n">
        <v>43970</v>
      </c>
      <c r="C54" s="1" t="n">
        <v>45648</v>
      </c>
      <c r="D54" t="inlineStr">
        <is>
          <t>SKÅNE LÄN</t>
        </is>
      </c>
      <c r="E54" t="inlineStr">
        <is>
          <t>ÖRKELLJUNGA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28063-2020</t>
        </is>
      </c>
      <c r="B55" s="1" t="n">
        <v>43997</v>
      </c>
      <c r="C55" s="1" t="n">
        <v>45648</v>
      </c>
      <c r="D55" t="inlineStr">
        <is>
          <t>SKÅNE LÄN</t>
        </is>
      </c>
      <c r="E55" t="inlineStr">
        <is>
          <t>ÖRKELLJUNGA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28068-2020</t>
        </is>
      </c>
      <c r="B56" s="1" t="n">
        <v>43997</v>
      </c>
      <c r="C56" s="1" t="n">
        <v>45648</v>
      </c>
      <c r="D56" t="inlineStr">
        <is>
          <t>SKÅNE LÄN</t>
        </is>
      </c>
      <c r="E56" t="inlineStr">
        <is>
          <t>ÖRKELLJUNGA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28567-2020</t>
        </is>
      </c>
      <c r="B57" s="1" t="n">
        <v>43998</v>
      </c>
      <c r="C57" s="1" t="n">
        <v>45648</v>
      </c>
      <c r="D57" t="inlineStr">
        <is>
          <t>SKÅNE LÄN</t>
        </is>
      </c>
      <c r="E57" t="inlineStr">
        <is>
          <t>ÖRKELLJUNGA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32912-2020</t>
        </is>
      </c>
      <c r="B58" s="1" t="n">
        <v>44020</v>
      </c>
      <c r="C58" s="1" t="n">
        <v>45648</v>
      </c>
      <c r="D58" t="inlineStr">
        <is>
          <t>SKÅNE LÄN</t>
        </is>
      </c>
      <c r="E58" t="inlineStr">
        <is>
          <t>ÖRKELLJUNGA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32910-2020</t>
        </is>
      </c>
      <c r="B59" s="1" t="n">
        <v>44020</v>
      </c>
      <c r="C59" s="1" t="n">
        <v>45648</v>
      </c>
      <c r="D59" t="inlineStr">
        <is>
          <t>SKÅNE LÄN</t>
        </is>
      </c>
      <c r="E59" t="inlineStr">
        <is>
          <t>ÖRKELLJUNGA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33176-2020</t>
        </is>
      </c>
      <c r="B60" s="1" t="n">
        <v>44021</v>
      </c>
      <c r="C60" s="1" t="n">
        <v>45648</v>
      </c>
      <c r="D60" t="inlineStr">
        <is>
          <t>SKÅNE LÄN</t>
        </is>
      </c>
      <c r="E60" t="inlineStr">
        <is>
          <t>ÖRKELLJUNGA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33550-2020</t>
        </is>
      </c>
      <c r="B61" s="1" t="n">
        <v>44021</v>
      </c>
      <c r="C61" s="1" t="n">
        <v>45648</v>
      </c>
      <c r="D61" t="inlineStr">
        <is>
          <t>SKÅNE LÄN</t>
        </is>
      </c>
      <c r="E61" t="inlineStr">
        <is>
          <t>ÖRKELLJUNGA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34426-2020</t>
        </is>
      </c>
      <c r="B62" s="1" t="n">
        <v>44021</v>
      </c>
      <c r="C62" s="1" t="n">
        <v>45648</v>
      </c>
      <c r="D62" t="inlineStr">
        <is>
          <t>SKÅNE LÄN</t>
        </is>
      </c>
      <c r="E62" t="inlineStr">
        <is>
          <t>ÖRKELLJUNGA</t>
        </is>
      </c>
      <c r="G62" t="n">
        <v>7.9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36397-2020</t>
        </is>
      </c>
      <c r="B63" s="1" t="n">
        <v>44049</v>
      </c>
      <c r="C63" s="1" t="n">
        <v>45648</v>
      </c>
      <c r="D63" t="inlineStr">
        <is>
          <t>SKÅNE LÄN</t>
        </is>
      </c>
      <c r="E63" t="inlineStr">
        <is>
          <t>ÖRKELLJUNGA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40286-2020</t>
        </is>
      </c>
      <c r="B64" s="1" t="n">
        <v>44067</v>
      </c>
      <c r="C64" s="1" t="n">
        <v>45648</v>
      </c>
      <c r="D64" t="inlineStr">
        <is>
          <t>SKÅNE LÄN</t>
        </is>
      </c>
      <c r="E64" t="inlineStr">
        <is>
          <t>ÖRKELLJUNGA</t>
        </is>
      </c>
      <c r="G64" t="n">
        <v>5.7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40260-2020</t>
        </is>
      </c>
      <c r="B65" s="1" t="n">
        <v>44067</v>
      </c>
      <c r="C65" s="1" t="n">
        <v>45648</v>
      </c>
      <c r="D65" t="inlineStr">
        <is>
          <t>SKÅNE LÄN</t>
        </is>
      </c>
      <c r="E65" t="inlineStr">
        <is>
          <t>ÖRKELLJUNGA</t>
        </is>
      </c>
      <c r="G65" t="n">
        <v>12.9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40256-2020</t>
        </is>
      </c>
      <c r="B66" s="1" t="n">
        <v>44067</v>
      </c>
      <c r="C66" s="1" t="n">
        <v>45648</v>
      </c>
      <c r="D66" t="inlineStr">
        <is>
          <t>SKÅNE LÄN</t>
        </is>
      </c>
      <c r="E66" t="inlineStr">
        <is>
          <t>ÖRKELLJUNGA</t>
        </is>
      </c>
      <c r="G66" t="n">
        <v>10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44704-2020</t>
        </is>
      </c>
      <c r="B67" s="1" t="n">
        <v>44085</v>
      </c>
      <c r="C67" s="1" t="n">
        <v>45648</v>
      </c>
      <c r="D67" t="inlineStr">
        <is>
          <t>SKÅNE LÄN</t>
        </is>
      </c>
      <c r="E67" t="inlineStr">
        <is>
          <t>ÖRKELLJUNGA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44698-2020</t>
        </is>
      </c>
      <c r="B68" s="1" t="n">
        <v>44085</v>
      </c>
      <c r="C68" s="1" t="n">
        <v>45648</v>
      </c>
      <c r="D68" t="inlineStr">
        <is>
          <t>SKÅNE LÄN</t>
        </is>
      </c>
      <c r="E68" t="inlineStr">
        <is>
          <t>ÖRKELLJUNGA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45882-2020</t>
        </is>
      </c>
      <c r="B69" s="1" t="n">
        <v>44091</v>
      </c>
      <c r="C69" s="1" t="n">
        <v>45648</v>
      </c>
      <c r="D69" t="inlineStr">
        <is>
          <t>SKÅNE LÄN</t>
        </is>
      </c>
      <c r="E69" t="inlineStr">
        <is>
          <t>ÖRKELLJUNGA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49577-2020</t>
        </is>
      </c>
      <c r="B70" s="1" t="n">
        <v>44106</v>
      </c>
      <c r="C70" s="1" t="n">
        <v>45648</v>
      </c>
      <c r="D70" t="inlineStr">
        <is>
          <t>SKÅNE LÄN</t>
        </is>
      </c>
      <c r="E70" t="inlineStr">
        <is>
          <t>ÖRKELLJUNGA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51470-2020</t>
        </is>
      </c>
      <c r="B71" s="1" t="n">
        <v>44109</v>
      </c>
      <c r="C71" s="1" t="n">
        <v>45648</v>
      </c>
      <c r="D71" t="inlineStr">
        <is>
          <t>SKÅNE LÄN</t>
        </is>
      </c>
      <c r="E71" t="inlineStr">
        <is>
          <t>ÖRKELLJUNGA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51463-2020</t>
        </is>
      </c>
      <c r="B72" s="1" t="n">
        <v>44109</v>
      </c>
      <c r="C72" s="1" t="n">
        <v>45648</v>
      </c>
      <c r="D72" t="inlineStr">
        <is>
          <t>SKÅNE LÄN</t>
        </is>
      </c>
      <c r="E72" t="inlineStr">
        <is>
          <t>ÖRKELLJUNGA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52132-2020</t>
        </is>
      </c>
      <c r="B73" s="1" t="n">
        <v>44117</v>
      </c>
      <c r="C73" s="1" t="n">
        <v>45648</v>
      </c>
      <c r="D73" t="inlineStr">
        <is>
          <t>SKÅNE LÄN</t>
        </is>
      </c>
      <c r="E73" t="inlineStr">
        <is>
          <t>ÖRKELLJUNGA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52145-2020</t>
        </is>
      </c>
      <c r="B74" s="1" t="n">
        <v>44117</v>
      </c>
      <c r="C74" s="1" t="n">
        <v>45648</v>
      </c>
      <c r="D74" t="inlineStr">
        <is>
          <t>SKÅNE LÄN</t>
        </is>
      </c>
      <c r="E74" t="inlineStr">
        <is>
          <t>ÖRKELLJUNGA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59341-2020</t>
        </is>
      </c>
      <c r="B75" s="1" t="n">
        <v>44148</v>
      </c>
      <c r="C75" s="1" t="n">
        <v>45648</v>
      </c>
      <c r="D75" t="inlineStr">
        <is>
          <t>SKÅNE LÄN</t>
        </is>
      </c>
      <c r="E75" t="inlineStr">
        <is>
          <t>ÖRKELLJUNGA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60875-2020</t>
        </is>
      </c>
      <c r="B76" s="1" t="n">
        <v>44154</v>
      </c>
      <c r="C76" s="1" t="n">
        <v>45648</v>
      </c>
      <c r="D76" t="inlineStr">
        <is>
          <t>SKÅNE LÄN</t>
        </is>
      </c>
      <c r="E76" t="inlineStr">
        <is>
          <t>ÖRKELLJUNGA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60879-2020</t>
        </is>
      </c>
      <c r="B77" s="1" t="n">
        <v>44154</v>
      </c>
      <c r="C77" s="1" t="n">
        <v>45648</v>
      </c>
      <c r="D77" t="inlineStr">
        <is>
          <t>SKÅNE LÄN</t>
        </is>
      </c>
      <c r="E77" t="inlineStr">
        <is>
          <t>ÖRKELLJUNGA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61108-2020</t>
        </is>
      </c>
      <c r="B78" s="1" t="n">
        <v>44154</v>
      </c>
      <c r="C78" s="1" t="n">
        <v>45648</v>
      </c>
      <c r="D78" t="inlineStr">
        <is>
          <t>SKÅNE LÄN</t>
        </is>
      </c>
      <c r="E78" t="inlineStr">
        <is>
          <t>ÖRKELLJUNGA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61211-2020</t>
        </is>
      </c>
      <c r="B79" s="1" t="n">
        <v>44155</v>
      </c>
      <c r="C79" s="1" t="n">
        <v>45648</v>
      </c>
      <c r="D79" t="inlineStr">
        <is>
          <t>SKÅNE LÄN</t>
        </is>
      </c>
      <c r="E79" t="inlineStr">
        <is>
          <t>ÖRKELLJUNGA</t>
        </is>
      </c>
      <c r="F79" t="inlineStr">
        <is>
          <t>Kyrkan</t>
        </is>
      </c>
      <c r="G79" t="n">
        <v>9.5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62781-2020</t>
        </is>
      </c>
      <c r="B80" s="1" t="n">
        <v>44161</v>
      </c>
      <c r="C80" s="1" t="n">
        <v>45648</v>
      </c>
      <c r="D80" t="inlineStr">
        <is>
          <t>SKÅNE LÄN</t>
        </is>
      </c>
      <c r="E80" t="inlineStr">
        <is>
          <t>ÖRKELLJUNGA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62783-2020</t>
        </is>
      </c>
      <c r="B81" s="1" t="n">
        <v>44161</v>
      </c>
      <c r="C81" s="1" t="n">
        <v>45648</v>
      </c>
      <c r="D81" t="inlineStr">
        <is>
          <t>SKÅNE LÄN</t>
        </is>
      </c>
      <c r="E81" t="inlineStr">
        <is>
          <t>ÖRKELLJUNGA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64601-2020</t>
        </is>
      </c>
      <c r="B82" s="1" t="n">
        <v>44169</v>
      </c>
      <c r="C82" s="1" t="n">
        <v>45648</v>
      </c>
      <c r="D82" t="inlineStr">
        <is>
          <t>SKÅNE LÄN</t>
        </is>
      </c>
      <c r="E82" t="inlineStr">
        <is>
          <t>ÖRKELLJUNGA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65753-2020</t>
        </is>
      </c>
      <c r="B83" s="1" t="n">
        <v>44174</v>
      </c>
      <c r="C83" s="1" t="n">
        <v>45648</v>
      </c>
      <c r="D83" t="inlineStr">
        <is>
          <t>SKÅNE LÄN</t>
        </is>
      </c>
      <c r="E83" t="inlineStr">
        <is>
          <t>ÖRKELLJUNGA</t>
        </is>
      </c>
      <c r="F83" t="inlineStr">
        <is>
          <t>Kyrkan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68508-2020</t>
        </is>
      </c>
      <c r="B84" s="1" t="n">
        <v>44186</v>
      </c>
      <c r="C84" s="1" t="n">
        <v>45648</v>
      </c>
      <c r="D84" t="inlineStr">
        <is>
          <t>SKÅNE LÄN</t>
        </is>
      </c>
      <c r="E84" t="inlineStr">
        <is>
          <t>ÖRKELLJUNGA</t>
        </is>
      </c>
      <c r="G84" t="n">
        <v>7.4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68502-2020</t>
        </is>
      </c>
      <c r="B85" s="1" t="n">
        <v>44186</v>
      </c>
      <c r="C85" s="1" t="n">
        <v>45648</v>
      </c>
      <c r="D85" t="inlineStr">
        <is>
          <t>SKÅNE LÄN</t>
        </is>
      </c>
      <c r="E85" t="inlineStr">
        <is>
          <t>ÖRKELLJUNGA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1130-2021</t>
        </is>
      </c>
      <c r="B86" s="1" t="n">
        <v>44207</v>
      </c>
      <c r="C86" s="1" t="n">
        <v>45648</v>
      </c>
      <c r="D86" t="inlineStr">
        <is>
          <t>SKÅNE LÄN</t>
        </is>
      </c>
      <c r="E86" t="inlineStr">
        <is>
          <t>ÖRKELLJUNGA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1124-2021</t>
        </is>
      </c>
      <c r="B87" s="1" t="n">
        <v>44207</v>
      </c>
      <c r="C87" s="1" t="n">
        <v>45648</v>
      </c>
      <c r="D87" t="inlineStr">
        <is>
          <t>SKÅNE LÄN</t>
        </is>
      </c>
      <c r="E87" t="inlineStr">
        <is>
          <t>ÖRKELLJUNGA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1129-2021</t>
        </is>
      </c>
      <c r="B88" s="1" t="n">
        <v>44207</v>
      </c>
      <c r="C88" s="1" t="n">
        <v>45648</v>
      </c>
      <c r="D88" t="inlineStr">
        <is>
          <t>SKÅNE LÄN</t>
        </is>
      </c>
      <c r="E88" t="inlineStr">
        <is>
          <t>ÖRKELLJUNGA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1127-2021</t>
        </is>
      </c>
      <c r="B89" s="1" t="n">
        <v>44207</v>
      </c>
      <c r="C89" s="1" t="n">
        <v>45648</v>
      </c>
      <c r="D89" t="inlineStr">
        <is>
          <t>SKÅNE LÄN</t>
        </is>
      </c>
      <c r="E89" t="inlineStr">
        <is>
          <t>ÖRKELLJUNGA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1136-2021</t>
        </is>
      </c>
      <c r="B90" s="1" t="n">
        <v>44207</v>
      </c>
      <c r="C90" s="1" t="n">
        <v>45648</v>
      </c>
      <c r="D90" t="inlineStr">
        <is>
          <t>SKÅNE LÄN</t>
        </is>
      </c>
      <c r="E90" t="inlineStr">
        <is>
          <t>ÖRKELLJUNGA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2462-2021</t>
        </is>
      </c>
      <c r="B91" s="1" t="n">
        <v>44213</v>
      </c>
      <c r="C91" s="1" t="n">
        <v>45648</v>
      </c>
      <c r="D91" t="inlineStr">
        <is>
          <t>SKÅNE LÄN</t>
        </is>
      </c>
      <c r="E91" t="inlineStr">
        <is>
          <t>ÖRKELLJUNGA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2770-2021</t>
        </is>
      </c>
      <c r="B92" s="1" t="n">
        <v>44215</v>
      </c>
      <c r="C92" s="1" t="n">
        <v>45648</v>
      </c>
      <c r="D92" t="inlineStr">
        <is>
          <t>SKÅNE LÄN</t>
        </is>
      </c>
      <c r="E92" t="inlineStr">
        <is>
          <t>ÖRKELLJUNGA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2781-2021</t>
        </is>
      </c>
      <c r="B93" s="1" t="n">
        <v>44215</v>
      </c>
      <c r="C93" s="1" t="n">
        <v>45648</v>
      </c>
      <c r="D93" t="inlineStr">
        <is>
          <t>SKÅNE LÄN</t>
        </is>
      </c>
      <c r="E93" t="inlineStr">
        <is>
          <t>ÖRKELLJUNGA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2788-2021</t>
        </is>
      </c>
      <c r="B94" s="1" t="n">
        <v>44215</v>
      </c>
      <c r="C94" s="1" t="n">
        <v>45648</v>
      </c>
      <c r="D94" t="inlineStr">
        <is>
          <t>SKÅNE LÄN</t>
        </is>
      </c>
      <c r="E94" t="inlineStr">
        <is>
          <t>ÖRKELLJUNGA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2768-2021</t>
        </is>
      </c>
      <c r="B95" s="1" t="n">
        <v>44215</v>
      </c>
      <c r="C95" s="1" t="n">
        <v>45648</v>
      </c>
      <c r="D95" t="inlineStr">
        <is>
          <t>SKÅNE LÄN</t>
        </is>
      </c>
      <c r="E95" t="inlineStr">
        <is>
          <t>ÖRKELLJUNGA</t>
        </is>
      </c>
      <c r="G95" t="n">
        <v>6.7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2787-2021</t>
        </is>
      </c>
      <c r="B96" s="1" t="n">
        <v>44215</v>
      </c>
      <c r="C96" s="1" t="n">
        <v>45648</v>
      </c>
      <c r="D96" t="inlineStr">
        <is>
          <t>SKÅNE LÄN</t>
        </is>
      </c>
      <c r="E96" t="inlineStr">
        <is>
          <t>ÖRKELLJUNGA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2774-2021</t>
        </is>
      </c>
      <c r="B97" s="1" t="n">
        <v>44215</v>
      </c>
      <c r="C97" s="1" t="n">
        <v>45648</v>
      </c>
      <c r="D97" t="inlineStr">
        <is>
          <t>SKÅNE LÄN</t>
        </is>
      </c>
      <c r="E97" t="inlineStr">
        <is>
          <t>ÖRKELLJUNGA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2784-2021</t>
        </is>
      </c>
      <c r="B98" s="1" t="n">
        <v>44215</v>
      </c>
      <c r="C98" s="1" t="n">
        <v>45648</v>
      </c>
      <c r="D98" t="inlineStr">
        <is>
          <t>SKÅNE LÄN</t>
        </is>
      </c>
      <c r="E98" t="inlineStr">
        <is>
          <t>ÖRKELLJUNGA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2790-2021</t>
        </is>
      </c>
      <c r="B99" s="1" t="n">
        <v>44215</v>
      </c>
      <c r="C99" s="1" t="n">
        <v>45648</v>
      </c>
      <c r="D99" t="inlineStr">
        <is>
          <t>SKÅNE LÄN</t>
        </is>
      </c>
      <c r="E99" t="inlineStr">
        <is>
          <t>ÖRKELLJUNGA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2980-2021</t>
        </is>
      </c>
      <c r="B100" s="1" t="n">
        <v>44216</v>
      </c>
      <c r="C100" s="1" t="n">
        <v>45648</v>
      </c>
      <c r="D100" t="inlineStr">
        <is>
          <t>SKÅNE LÄN</t>
        </is>
      </c>
      <c r="E100" t="inlineStr">
        <is>
          <t>ÖRKELLJUNGA</t>
        </is>
      </c>
      <c r="F100" t="inlineStr">
        <is>
          <t>Kyrkan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5678-2021</t>
        </is>
      </c>
      <c r="B101" s="1" t="n">
        <v>44230</v>
      </c>
      <c r="C101" s="1" t="n">
        <v>45648</v>
      </c>
      <c r="D101" t="inlineStr">
        <is>
          <t>SKÅNE LÄN</t>
        </is>
      </c>
      <c r="E101" t="inlineStr">
        <is>
          <t>ÖRKELLJUNGA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6154-2021</t>
        </is>
      </c>
      <c r="B102" s="1" t="n">
        <v>44232</v>
      </c>
      <c r="C102" s="1" t="n">
        <v>45648</v>
      </c>
      <c r="D102" t="inlineStr">
        <is>
          <t>SKÅNE LÄN</t>
        </is>
      </c>
      <c r="E102" t="inlineStr">
        <is>
          <t>ÖRKELLJUNGA</t>
        </is>
      </c>
      <c r="G102" t="n">
        <v>10.4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6237-2021</t>
        </is>
      </c>
      <c r="B103" s="1" t="n">
        <v>44235</v>
      </c>
      <c r="C103" s="1" t="n">
        <v>45648</v>
      </c>
      <c r="D103" t="inlineStr">
        <is>
          <t>SKÅNE LÄN</t>
        </is>
      </c>
      <c r="E103" t="inlineStr">
        <is>
          <t>ÖRKELLJUNGA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6429-2021</t>
        </is>
      </c>
      <c r="B104" s="1" t="n">
        <v>44235</v>
      </c>
      <c r="C104" s="1" t="n">
        <v>45648</v>
      </c>
      <c r="D104" t="inlineStr">
        <is>
          <t>SKÅNE LÄN</t>
        </is>
      </c>
      <c r="E104" t="inlineStr">
        <is>
          <t>ÖRKELLJUNGA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7707-2021</t>
        </is>
      </c>
      <c r="B105" s="1" t="n">
        <v>44242</v>
      </c>
      <c r="C105" s="1" t="n">
        <v>45648</v>
      </c>
      <c r="D105" t="inlineStr">
        <is>
          <t>SKÅNE LÄN</t>
        </is>
      </c>
      <c r="E105" t="inlineStr">
        <is>
          <t>ÖRKELLJUNGA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8752-2021</t>
        </is>
      </c>
      <c r="B106" s="1" t="n">
        <v>44246</v>
      </c>
      <c r="C106" s="1" t="n">
        <v>45648</v>
      </c>
      <c r="D106" t="inlineStr">
        <is>
          <t>SKÅNE LÄN</t>
        </is>
      </c>
      <c r="E106" t="inlineStr">
        <is>
          <t>ÖRKELLJUNGA</t>
        </is>
      </c>
      <c r="G106" t="n">
        <v>6.8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12684-2021</t>
        </is>
      </c>
      <c r="B107" s="1" t="n">
        <v>44270</v>
      </c>
      <c r="C107" s="1" t="n">
        <v>45648</v>
      </c>
      <c r="D107" t="inlineStr">
        <is>
          <t>SKÅNE LÄN</t>
        </is>
      </c>
      <c r="E107" t="inlineStr">
        <is>
          <t>ÖRKELLJUNGA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12634-2021</t>
        </is>
      </c>
      <c r="B108" s="1" t="n">
        <v>44270</v>
      </c>
      <c r="C108" s="1" t="n">
        <v>45648</v>
      </c>
      <c r="D108" t="inlineStr">
        <is>
          <t>SKÅNE LÄN</t>
        </is>
      </c>
      <c r="E108" t="inlineStr">
        <is>
          <t>ÖRKELLJUNGA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12625-2021</t>
        </is>
      </c>
      <c r="B109" s="1" t="n">
        <v>44270</v>
      </c>
      <c r="C109" s="1" t="n">
        <v>45648</v>
      </c>
      <c r="D109" t="inlineStr">
        <is>
          <t>SKÅNE LÄN</t>
        </is>
      </c>
      <c r="E109" t="inlineStr">
        <is>
          <t>ÖRKELLJUNGA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12631-2021</t>
        </is>
      </c>
      <c r="B110" s="1" t="n">
        <v>44270</v>
      </c>
      <c r="C110" s="1" t="n">
        <v>45648</v>
      </c>
      <c r="D110" t="inlineStr">
        <is>
          <t>SKÅNE LÄN</t>
        </is>
      </c>
      <c r="E110" t="inlineStr">
        <is>
          <t>ÖRKELLJUNGA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17318-2021</t>
        </is>
      </c>
      <c r="B111" s="1" t="n">
        <v>44298</v>
      </c>
      <c r="C111" s="1" t="n">
        <v>45648</v>
      </c>
      <c r="D111" t="inlineStr">
        <is>
          <t>SKÅNE LÄN</t>
        </is>
      </c>
      <c r="E111" t="inlineStr">
        <is>
          <t>ÖRKELLJUNGA</t>
        </is>
      </c>
      <c r="F111" t="inlineStr">
        <is>
          <t>Kommuner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24712-2021</t>
        </is>
      </c>
      <c r="B112" s="1" t="n">
        <v>44340</v>
      </c>
      <c r="C112" s="1" t="n">
        <v>45648</v>
      </c>
      <c r="D112" t="inlineStr">
        <is>
          <t>SKÅNE LÄN</t>
        </is>
      </c>
      <c r="E112" t="inlineStr">
        <is>
          <t>ÖRKELLJUNGA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27309-2021</t>
        </is>
      </c>
      <c r="B113" s="1" t="n">
        <v>44351</v>
      </c>
      <c r="C113" s="1" t="n">
        <v>45648</v>
      </c>
      <c r="D113" t="inlineStr">
        <is>
          <t>SKÅNE LÄN</t>
        </is>
      </c>
      <c r="E113" t="inlineStr">
        <is>
          <t>ÖRKELLJUNGA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27521-2021</t>
        </is>
      </c>
      <c r="B114" s="1" t="n">
        <v>44351</v>
      </c>
      <c r="C114" s="1" t="n">
        <v>45648</v>
      </c>
      <c r="D114" t="inlineStr">
        <is>
          <t>SKÅNE LÄN</t>
        </is>
      </c>
      <c r="E114" t="inlineStr">
        <is>
          <t>ÖRKELLJUNGA</t>
        </is>
      </c>
      <c r="G114" t="n">
        <v>10.3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29169-2021</t>
        </is>
      </c>
      <c r="B115" s="1" t="n">
        <v>44358</v>
      </c>
      <c r="C115" s="1" t="n">
        <v>45648</v>
      </c>
      <c r="D115" t="inlineStr">
        <is>
          <t>SKÅNE LÄN</t>
        </is>
      </c>
      <c r="E115" t="inlineStr">
        <is>
          <t>ÖRKELLJUNGA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35910-2021</t>
        </is>
      </c>
      <c r="B116" s="1" t="n">
        <v>44387</v>
      </c>
      <c r="C116" s="1" t="n">
        <v>45648</v>
      </c>
      <c r="D116" t="inlineStr">
        <is>
          <t>SKÅNE LÄN</t>
        </is>
      </c>
      <c r="E116" t="inlineStr">
        <is>
          <t>ÖRKELLJUNGA</t>
        </is>
      </c>
      <c r="G116" t="n">
        <v>6.7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36572-2021</t>
        </is>
      </c>
      <c r="B117" s="1" t="n">
        <v>44391</v>
      </c>
      <c r="C117" s="1" t="n">
        <v>45648</v>
      </c>
      <c r="D117" t="inlineStr">
        <is>
          <t>SKÅNE LÄN</t>
        </is>
      </c>
      <c r="E117" t="inlineStr">
        <is>
          <t>ÖRKELLJUNGA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39365-2021</t>
        </is>
      </c>
      <c r="B118" s="1" t="n">
        <v>44414</v>
      </c>
      <c r="C118" s="1" t="n">
        <v>45648</v>
      </c>
      <c r="D118" t="inlineStr">
        <is>
          <t>SKÅNE LÄN</t>
        </is>
      </c>
      <c r="E118" t="inlineStr">
        <is>
          <t>ÖRKELLJUNGA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39772-2021</t>
        </is>
      </c>
      <c r="B119" s="1" t="n">
        <v>44416</v>
      </c>
      <c r="C119" s="1" t="n">
        <v>45648</v>
      </c>
      <c r="D119" t="inlineStr">
        <is>
          <t>SKÅNE LÄN</t>
        </is>
      </c>
      <c r="E119" t="inlineStr">
        <is>
          <t>ÖRKELLJUNGA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39805-2021</t>
        </is>
      </c>
      <c r="B120" s="1" t="n">
        <v>44416</v>
      </c>
      <c r="C120" s="1" t="n">
        <v>45648</v>
      </c>
      <c r="D120" t="inlineStr">
        <is>
          <t>SKÅNE LÄN</t>
        </is>
      </c>
      <c r="E120" t="inlineStr">
        <is>
          <t>ÖRKELLJUNGA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45443-2021</t>
        </is>
      </c>
      <c r="B121" s="1" t="n">
        <v>44440</v>
      </c>
      <c r="C121" s="1" t="n">
        <v>45648</v>
      </c>
      <c r="D121" t="inlineStr">
        <is>
          <t>SKÅNE LÄN</t>
        </is>
      </c>
      <c r="E121" t="inlineStr">
        <is>
          <t>ÖRKELLJUNGA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51139-2021</t>
        </is>
      </c>
      <c r="B122" s="1" t="n">
        <v>44461</v>
      </c>
      <c r="C122" s="1" t="n">
        <v>45648</v>
      </c>
      <c r="D122" t="inlineStr">
        <is>
          <t>SKÅNE LÄN</t>
        </is>
      </c>
      <c r="E122" t="inlineStr">
        <is>
          <t>ÖRKELLJUNGA</t>
        </is>
      </c>
      <c r="G122" t="n">
        <v>6.1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52372-2021</t>
        </is>
      </c>
      <c r="B123" s="1" t="n">
        <v>44465</v>
      </c>
      <c r="C123" s="1" t="n">
        <v>45648</v>
      </c>
      <c r="D123" t="inlineStr">
        <is>
          <t>SKÅNE LÄN</t>
        </is>
      </c>
      <c r="E123" t="inlineStr">
        <is>
          <t>ÖRKELLJUNGA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52528-2021</t>
        </is>
      </c>
      <c r="B124" s="1" t="n">
        <v>44466</v>
      </c>
      <c r="C124" s="1" t="n">
        <v>45648</v>
      </c>
      <c r="D124" t="inlineStr">
        <is>
          <t>SKÅNE LÄN</t>
        </is>
      </c>
      <c r="E124" t="inlineStr">
        <is>
          <t>ÖRKELLJUNGA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53431-2021</t>
        </is>
      </c>
      <c r="B125" s="1" t="n">
        <v>44468</v>
      </c>
      <c r="C125" s="1" t="n">
        <v>45648</v>
      </c>
      <c r="D125" t="inlineStr">
        <is>
          <t>SKÅNE LÄN</t>
        </is>
      </c>
      <c r="E125" t="inlineStr">
        <is>
          <t>ÖRKELLJUNGA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56006-2021</t>
        </is>
      </c>
      <c r="B126" s="1" t="n">
        <v>44477</v>
      </c>
      <c r="C126" s="1" t="n">
        <v>45648</v>
      </c>
      <c r="D126" t="inlineStr">
        <is>
          <t>SKÅNE LÄN</t>
        </is>
      </c>
      <c r="E126" t="inlineStr">
        <is>
          <t>ÖRKELLJUNGA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56021-2021</t>
        </is>
      </c>
      <c r="B127" s="1" t="n">
        <v>44477</v>
      </c>
      <c r="C127" s="1" t="n">
        <v>45648</v>
      </c>
      <c r="D127" t="inlineStr">
        <is>
          <t>SKÅNE LÄN</t>
        </is>
      </c>
      <c r="E127" t="inlineStr">
        <is>
          <t>ÖRKELLJUNGA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61650-2021</t>
        </is>
      </c>
      <c r="B128" s="1" t="n">
        <v>44498</v>
      </c>
      <c r="C128" s="1" t="n">
        <v>45648</v>
      </c>
      <c r="D128" t="inlineStr">
        <is>
          <t>SKÅNE LÄN</t>
        </is>
      </c>
      <c r="E128" t="inlineStr">
        <is>
          <t>ÖRKELLJUNGA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65197-2021</t>
        </is>
      </c>
      <c r="B129" s="1" t="n">
        <v>44515</v>
      </c>
      <c r="C129" s="1" t="n">
        <v>45648</v>
      </c>
      <c r="D129" t="inlineStr">
        <is>
          <t>SKÅNE LÄN</t>
        </is>
      </c>
      <c r="E129" t="inlineStr">
        <is>
          <t>ÖRKELLJUNGA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65211-2021</t>
        </is>
      </c>
      <c r="B130" s="1" t="n">
        <v>44515</v>
      </c>
      <c r="C130" s="1" t="n">
        <v>45648</v>
      </c>
      <c r="D130" t="inlineStr">
        <is>
          <t>SKÅNE LÄN</t>
        </is>
      </c>
      <c r="E130" t="inlineStr">
        <is>
          <t>ÖRKELLJUNGA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65469-2021</t>
        </is>
      </c>
      <c r="B131" s="1" t="n">
        <v>44516</v>
      </c>
      <c r="C131" s="1" t="n">
        <v>45648</v>
      </c>
      <c r="D131" t="inlineStr">
        <is>
          <t>SKÅNE LÄN</t>
        </is>
      </c>
      <c r="E131" t="inlineStr">
        <is>
          <t>ÖRKELLJUNGA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68082-2021</t>
        </is>
      </c>
      <c r="B132" s="1" t="n">
        <v>44526</v>
      </c>
      <c r="C132" s="1" t="n">
        <v>45648</v>
      </c>
      <c r="D132" t="inlineStr">
        <is>
          <t>SKÅNE LÄN</t>
        </is>
      </c>
      <c r="E132" t="inlineStr">
        <is>
          <t>ÖRKELLJUNGA</t>
        </is>
      </c>
      <c r="G132" t="n">
        <v>19.7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70802-2021</t>
        </is>
      </c>
      <c r="B133" s="1" t="n">
        <v>44537</v>
      </c>
      <c r="C133" s="1" t="n">
        <v>45648</v>
      </c>
      <c r="D133" t="inlineStr">
        <is>
          <t>SKÅNE LÄN</t>
        </is>
      </c>
      <c r="E133" t="inlineStr">
        <is>
          <t>ÖRKELLJUNGA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71637-2021</t>
        </is>
      </c>
      <c r="B134" s="1" t="n">
        <v>44543</v>
      </c>
      <c r="C134" s="1" t="n">
        <v>45648</v>
      </c>
      <c r="D134" t="inlineStr">
        <is>
          <t>SKÅNE LÄN</t>
        </is>
      </c>
      <c r="E134" t="inlineStr">
        <is>
          <t>ÖRKELLJUNGA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72261-2021</t>
        </is>
      </c>
      <c r="B135" s="1" t="n">
        <v>44545</v>
      </c>
      <c r="C135" s="1" t="n">
        <v>45648</v>
      </c>
      <c r="D135" t="inlineStr">
        <is>
          <t>SKÅNE LÄN</t>
        </is>
      </c>
      <c r="E135" t="inlineStr">
        <is>
          <t>ÖRKELLJUNGA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72707-2021</t>
        </is>
      </c>
      <c r="B136" s="1" t="n">
        <v>44546</v>
      </c>
      <c r="C136" s="1" t="n">
        <v>45648</v>
      </c>
      <c r="D136" t="inlineStr">
        <is>
          <t>SKÅNE LÄN</t>
        </is>
      </c>
      <c r="E136" t="inlineStr">
        <is>
          <t>ÖRKELLJUNGA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73830-2021</t>
        </is>
      </c>
      <c r="B137" s="1" t="n">
        <v>44552</v>
      </c>
      <c r="C137" s="1" t="n">
        <v>45648</v>
      </c>
      <c r="D137" t="inlineStr">
        <is>
          <t>SKÅNE LÄN</t>
        </is>
      </c>
      <c r="E137" t="inlineStr">
        <is>
          <t>ÖRKELLJUNGA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74482-2021</t>
        </is>
      </c>
      <c r="B138" s="1" t="n">
        <v>44560</v>
      </c>
      <c r="C138" s="1" t="n">
        <v>45648</v>
      </c>
      <c r="D138" t="inlineStr">
        <is>
          <t>SKÅNE LÄN</t>
        </is>
      </c>
      <c r="E138" t="inlineStr">
        <is>
          <t>ÖRKELLJUNGA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2405-2022</t>
        </is>
      </c>
      <c r="B139" s="1" t="n">
        <v>44579</v>
      </c>
      <c r="C139" s="1" t="n">
        <v>45648</v>
      </c>
      <c r="D139" t="inlineStr">
        <is>
          <t>SKÅNE LÄN</t>
        </is>
      </c>
      <c r="E139" t="inlineStr">
        <is>
          <t>ÖRKELLJUNGA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3830-2022</t>
        </is>
      </c>
      <c r="B140" s="1" t="n">
        <v>44587</v>
      </c>
      <c r="C140" s="1" t="n">
        <v>45648</v>
      </c>
      <c r="D140" t="inlineStr">
        <is>
          <t>SKÅNE LÄN</t>
        </is>
      </c>
      <c r="E140" t="inlineStr">
        <is>
          <t>ÖRKELLJUNGA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6020-2022</t>
        </is>
      </c>
      <c r="B141" s="1" t="n">
        <v>44599</v>
      </c>
      <c r="C141" s="1" t="n">
        <v>45648</v>
      </c>
      <c r="D141" t="inlineStr">
        <is>
          <t>SKÅNE LÄN</t>
        </is>
      </c>
      <c r="E141" t="inlineStr">
        <is>
          <t>ÖRKELLJUNGA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7535-2022</t>
        </is>
      </c>
      <c r="B142" s="1" t="n">
        <v>44607</v>
      </c>
      <c r="C142" s="1" t="n">
        <v>45648</v>
      </c>
      <c r="D142" t="inlineStr">
        <is>
          <t>SKÅNE LÄN</t>
        </is>
      </c>
      <c r="E142" t="inlineStr">
        <is>
          <t>ÖRKELLJUNGA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8111-2022</t>
        </is>
      </c>
      <c r="B143" s="1" t="n">
        <v>44607</v>
      </c>
      <c r="C143" s="1" t="n">
        <v>45648</v>
      </c>
      <c r="D143" t="inlineStr">
        <is>
          <t>SKÅNE LÄN</t>
        </is>
      </c>
      <c r="E143" t="inlineStr">
        <is>
          <t>ÖRKELLJUNGA</t>
        </is>
      </c>
      <c r="F143" t="inlineStr">
        <is>
          <t>Kyrkan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9559-2022</t>
        </is>
      </c>
      <c r="B144" s="1" t="n">
        <v>44617</v>
      </c>
      <c r="C144" s="1" t="n">
        <v>45648</v>
      </c>
      <c r="D144" t="inlineStr">
        <is>
          <t>SKÅNE LÄN</t>
        </is>
      </c>
      <c r="E144" t="inlineStr">
        <is>
          <t>ÖRKELLJUNGA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11970-2022</t>
        </is>
      </c>
      <c r="B145" s="1" t="n">
        <v>44635</v>
      </c>
      <c r="C145" s="1" t="n">
        <v>45648</v>
      </c>
      <c r="D145" t="inlineStr">
        <is>
          <t>SKÅNE LÄN</t>
        </is>
      </c>
      <c r="E145" t="inlineStr">
        <is>
          <t>ÖRKELLJUNGA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12141-2022</t>
        </is>
      </c>
      <c r="B146" s="1" t="n">
        <v>44636</v>
      </c>
      <c r="C146" s="1" t="n">
        <v>45648</v>
      </c>
      <c r="D146" t="inlineStr">
        <is>
          <t>SKÅNE LÄN</t>
        </is>
      </c>
      <c r="E146" t="inlineStr">
        <is>
          <t>ÖRKELLJUNGA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12139-2022</t>
        </is>
      </c>
      <c r="B147" s="1" t="n">
        <v>44636</v>
      </c>
      <c r="C147" s="1" t="n">
        <v>45648</v>
      </c>
      <c r="D147" t="inlineStr">
        <is>
          <t>SKÅNE LÄN</t>
        </is>
      </c>
      <c r="E147" t="inlineStr">
        <is>
          <t>ÖRKELLJUNGA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12136-2022</t>
        </is>
      </c>
      <c r="B148" s="1" t="n">
        <v>44636</v>
      </c>
      <c r="C148" s="1" t="n">
        <v>45648</v>
      </c>
      <c r="D148" t="inlineStr">
        <is>
          <t>SKÅNE LÄN</t>
        </is>
      </c>
      <c r="E148" t="inlineStr">
        <is>
          <t>ÖRKELLJUNGA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16431-2022</t>
        </is>
      </c>
      <c r="B149" s="1" t="n">
        <v>44671</v>
      </c>
      <c r="C149" s="1" t="n">
        <v>45648</v>
      </c>
      <c r="D149" t="inlineStr">
        <is>
          <t>SKÅNE LÄN</t>
        </is>
      </c>
      <c r="E149" t="inlineStr">
        <is>
          <t>ÖRKELLJUNGA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16920-2022</t>
        </is>
      </c>
      <c r="B150" s="1" t="n">
        <v>44676</v>
      </c>
      <c r="C150" s="1" t="n">
        <v>45648</v>
      </c>
      <c r="D150" t="inlineStr">
        <is>
          <t>SKÅNE LÄN</t>
        </is>
      </c>
      <c r="E150" t="inlineStr">
        <is>
          <t>ÖRKELLJUNGA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17476-2022</t>
        </is>
      </c>
      <c r="B151" s="1" t="n">
        <v>44679</v>
      </c>
      <c r="C151" s="1" t="n">
        <v>45648</v>
      </c>
      <c r="D151" t="inlineStr">
        <is>
          <t>SKÅNE LÄN</t>
        </is>
      </c>
      <c r="E151" t="inlineStr">
        <is>
          <t>ÖRKELLJUNGA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21140-2022</t>
        </is>
      </c>
      <c r="B152" s="1" t="n">
        <v>44704</v>
      </c>
      <c r="C152" s="1" t="n">
        <v>45648</v>
      </c>
      <c r="D152" t="inlineStr">
        <is>
          <t>SKÅNE LÄN</t>
        </is>
      </c>
      <c r="E152" t="inlineStr">
        <is>
          <t>ÖRKELLJUNGA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21146-2022</t>
        </is>
      </c>
      <c r="B153" s="1" t="n">
        <v>44704</v>
      </c>
      <c r="C153" s="1" t="n">
        <v>45648</v>
      </c>
      <c r="D153" t="inlineStr">
        <is>
          <t>SKÅNE LÄN</t>
        </is>
      </c>
      <c r="E153" t="inlineStr">
        <is>
          <t>ÖRKELLJUNGA</t>
        </is>
      </c>
      <c r="G153" t="n">
        <v>7.4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21152-2022</t>
        </is>
      </c>
      <c r="B154" s="1" t="n">
        <v>44704</v>
      </c>
      <c r="C154" s="1" t="n">
        <v>45648</v>
      </c>
      <c r="D154" t="inlineStr">
        <is>
          <t>SKÅNE LÄN</t>
        </is>
      </c>
      <c r="E154" t="inlineStr">
        <is>
          <t>ÖRKELLJUNGA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26837-2022</t>
        </is>
      </c>
      <c r="B155" s="1" t="n">
        <v>44740</v>
      </c>
      <c r="C155" s="1" t="n">
        <v>45648</v>
      </c>
      <c r="D155" t="inlineStr">
        <is>
          <t>SKÅNE LÄN</t>
        </is>
      </c>
      <c r="E155" t="inlineStr">
        <is>
          <t>ÖRKELLJUNGA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28148-2022</t>
        </is>
      </c>
      <c r="B156" s="1" t="n">
        <v>44746</v>
      </c>
      <c r="C156" s="1" t="n">
        <v>45648</v>
      </c>
      <c r="D156" t="inlineStr">
        <is>
          <t>SKÅNE LÄN</t>
        </is>
      </c>
      <c r="E156" t="inlineStr">
        <is>
          <t>ÖRKELLJUNGA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29333-2022</t>
        </is>
      </c>
      <c r="B157" s="1" t="n">
        <v>44752</v>
      </c>
      <c r="C157" s="1" t="n">
        <v>45648</v>
      </c>
      <c r="D157" t="inlineStr">
        <is>
          <t>SKÅNE LÄN</t>
        </is>
      </c>
      <c r="E157" t="inlineStr">
        <is>
          <t>ÖRKELLJUNGA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29335-2022</t>
        </is>
      </c>
      <c r="B158" s="1" t="n">
        <v>44752</v>
      </c>
      <c r="C158" s="1" t="n">
        <v>45648</v>
      </c>
      <c r="D158" t="inlineStr">
        <is>
          <t>SKÅNE LÄN</t>
        </is>
      </c>
      <c r="E158" t="inlineStr">
        <is>
          <t>ÖRKELLJUNGA</t>
        </is>
      </c>
      <c r="F158" t="inlineStr">
        <is>
          <t>Kommuner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29334-2022</t>
        </is>
      </c>
      <c r="B159" s="1" t="n">
        <v>44752</v>
      </c>
      <c r="C159" s="1" t="n">
        <v>45648</v>
      </c>
      <c r="D159" t="inlineStr">
        <is>
          <t>SKÅNE LÄN</t>
        </is>
      </c>
      <c r="E159" t="inlineStr">
        <is>
          <t>ÖRKELLJUNGA</t>
        </is>
      </c>
      <c r="F159" t="inlineStr">
        <is>
          <t>Kommuner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30136-2022</t>
        </is>
      </c>
      <c r="B160" s="1" t="n">
        <v>44757</v>
      </c>
      <c r="C160" s="1" t="n">
        <v>45648</v>
      </c>
      <c r="D160" t="inlineStr">
        <is>
          <t>SKÅNE LÄN</t>
        </is>
      </c>
      <c r="E160" t="inlineStr">
        <is>
          <t>ÖRKELLJUNGA</t>
        </is>
      </c>
      <c r="F160" t="inlineStr">
        <is>
          <t>Kyrkan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32511-2022</t>
        </is>
      </c>
      <c r="B161" s="1" t="n">
        <v>44782</v>
      </c>
      <c r="C161" s="1" t="n">
        <v>45648</v>
      </c>
      <c r="D161" t="inlineStr">
        <is>
          <t>SKÅNE LÄN</t>
        </is>
      </c>
      <c r="E161" t="inlineStr">
        <is>
          <t>ÖRKELLJUNGA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33323-2022</t>
        </is>
      </c>
      <c r="B162" s="1" t="n">
        <v>44788</v>
      </c>
      <c r="C162" s="1" t="n">
        <v>45648</v>
      </c>
      <c r="D162" t="inlineStr">
        <is>
          <t>SKÅNE LÄN</t>
        </is>
      </c>
      <c r="E162" t="inlineStr">
        <is>
          <t>ÖRKELLJUNGA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33328-2022</t>
        </is>
      </c>
      <c r="B163" s="1" t="n">
        <v>44788</v>
      </c>
      <c r="C163" s="1" t="n">
        <v>45648</v>
      </c>
      <c r="D163" t="inlineStr">
        <is>
          <t>SKÅNE LÄN</t>
        </is>
      </c>
      <c r="E163" t="inlineStr">
        <is>
          <t>ÖRKELLJUNGA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35533-2022</t>
        </is>
      </c>
      <c r="B164" s="1" t="n">
        <v>44799</v>
      </c>
      <c r="C164" s="1" t="n">
        <v>45648</v>
      </c>
      <c r="D164" t="inlineStr">
        <is>
          <t>SKÅNE LÄN</t>
        </is>
      </c>
      <c r="E164" t="inlineStr">
        <is>
          <t>ÖRKELLJUNGA</t>
        </is>
      </c>
      <c r="F164" t="inlineStr">
        <is>
          <t>Kommuner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36543-2022</t>
        </is>
      </c>
      <c r="B165" s="1" t="n">
        <v>44804</v>
      </c>
      <c r="C165" s="1" t="n">
        <v>45648</v>
      </c>
      <c r="D165" t="inlineStr">
        <is>
          <t>SKÅNE LÄN</t>
        </is>
      </c>
      <c r="E165" t="inlineStr">
        <is>
          <t>ÖRKELLJUNGA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36595-2022</t>
        </is>
      </c>
      <c r="B166" s="1" t="n">
        <v>44804</v>
      </c>
      <c r="C166" s="1" t="n">
        <v>45648</v>
      </c>
      <c r="D166" t="inlineStr">
        <is>
          <t>SKÅNE LÄN</t>
        </is>
      </c>
      <c r="E166" t="inlineStr">
        <is>
          <t>ÖRKELLJUNGA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37061-2022</t>
        </is>
      </c>
      <c r="B167" s="1" t="n">
        <v>44806</v>
      </c>
      <c r="C167" s="1" t="n">
        <v>45648</v>
      </c>
      <c r="D167" t="inlineStr">
        <is>
          <t>SKÅNE LÄN</t>
        </is>
      </c>
      <c r="E167" t="inlineStr">
        <is>
          <t>ÖRKELLJUNGA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38556-2022</t>
        </is>
      </c>
      <c r="B168" s="1" t="n">
        <v>44813</v>
      </c>
      <c r="C168" s="1" t="n">
        <v>45648</v>
      </c>
      <c r="D168" t="inlineStr">
        <is>
          <t>SKÅNE LÄN</t>
        </is>
      </c>
      <c r="E168" t="inlineStr">
        <is>
          <t>ÖRKELLJUNGA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38560-2022</t>
        </is>
      </c>
      <c r="B169" s="1" t="n">
        <v>44813</v>
      </c>
      <c r="C169" s="1" t="n">
        <v>45648</v>
      </c>
      <c r="D169" t="inlineStr">
        <is>
          <t>SKÅNE LÄN</t>
        </is>
      </c>
      <c r="E169" t="inlineStr">
        <is>
          <t>ÖRKELLJUNGA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40190-2022</t>
        </is>
      </c>
      <c r="B170" s="1" t="n">
        <v>44820</v>
      </c>
      <c r="C170" s="1" t="n">
        <v>45648</v>
      </c>
      <c r="D170" t="inlineStr">
        <is>
          <t>SKÅNE LÄN</t>
        </is>
      </c>
      <c r="E170" t="inlineStr">
        <is>
          <t>ÖRKELLJUNGA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40184-2022</t>
        </is>
      </c>
      <c r="B171" s="1" t="n">
        <v>44820</v>
      </c>
      <c r="C171" s="1" t="n">
        <v>45648</v>
      </c>
      <c r="D171" t="inlineStr">
        <is>
          <t>SKÅNE LÄN</t>
        </is>
      </c>
      <c r="E171" t="inlineStr">
        <is>
          <t>ÖRKELLJUNGA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40196-2022</t>
        </is>
      </c>
      <c r="B172" s="1" t="n">
        <v>44820</v>
      </c>
      <c r="C172" s="1" t="n">
        <v>45648</v>
      </c>
      <c r="D172" t="inlineStr">
        <is>
          <t>SKÅNE LÄN</t>
        </is>
      </c>
      <c r="E172" t="inlineStr">
        <is>
          <t>ÖRKELLJUNGA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41230-2022</t>
        </is>
      </c>
      <c r="B173" s="1" t="n">
        <v>44826</v>
      </c>
      <c r="C173" s="1" t="n">
        <v>45648</v>
      </c>
      <c r="D173" t="inlineStr">
        <is>
          <t>SKÅNE LÄN</t>
        </is>
      </c>
      <c r="E173" t="inlineStr">
        <is>
          <t>ÖRKELLJUNGA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43674-2022</t>
        </is>
      </c>
      <c r="B174" s="1" t="n">
        <v>44837</v>
      </c>
      <c r="C174" s="1" t="n">
        <v>45648</v>
      </c>
      <c r="D174" t="inlineStr">
        <is>
          <t>SKÅNE LÄN</t>
        </is>
      </c>
      <c r="E174" t="inlineStr">
        <is>
          <t>ÖRKELLJUNGA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44814-2022</t>
        </is>
      </c>
      <c r="B175" s="1" t="n">
        <v>44841</v>
      </c>
      <c r="C175" s="1" t="n">
        <v>45648</v>
      </c>
      <c r="D175" t="inlineStr">
        <is>
          <t>SKÅNE LÄN</t>
        </is>
      </c>
      <c r="E175" t="inlineStr">
        <is>
          <t>ÖRKELLJUNGA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44882-2022</t>
        </is>
      </c>
      <c r="B176" s="1" t="n">
        <v>44841</v>
      </c>
      <c r="C176" s="1" t="n">
        <v>45648</v>
      </c>
      <c r="D176" t="inlineStr">
        <is>
          <t>SKÅNE LÄN</t>
        </is>
      </c>
      <c r="E176" t="inlineStr">
        <is>
          <t>ÖRKELLJUNGA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45063-2022</t>
        </is>
      </c>
      <c r="B177" s="1" t="n">
        <v>44841</v>
      </c>
      <c r="C177" s="1" t="n">
        <v>45648</v>
      </c>
      <c r="D177" t="inlineStr">
        <is>
          <t>SKÅNE LÄN</t>
        </is>
      </c>
      <c r="E177" t="inlineStr">
        <is>
          <t>ÖRKELLJUNGA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44880-2022</t>
        </is>
      </c>
      <c r="B178" s="1" t="n">
        <v>44841</v>
      </c>
      <c r="C178" s="1" t="n">
        <v>45648</v>
      </c>
      <c r="D178" t="inlineStr">
        <is>
          <t>SKÅNE LÄN</t>
        </is>
      </c>
      <c r="E178" t="inlineStr">
        <is>
          <t>ÖRKELLJUNGA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45192-2022</t>
        </is>
      </c>
      <c r="B179" s="1" t="n">
        <v>44844</v>
      </c>
      <c r="C179" s="1" t="n">
        <v>45648</v>
      </c>
      <c r="D179" t="inlineStr">
        <is>
          <t>SKÅNE LÄN</t>
        </is>
      </c>
      <c r="E179" t="inlineStr">
        <is>
          <t>ÖRKELLJUNGA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45968-2022</t>
        </is>
      </c>
      <c r="B180" s="1" t="n">
        <v>44846</v>
      </c>
      <c r="C180" s="1" t="n">
        <v>45648</v>
      </c>
      <c r="D180" t="inlineStr">
        <is>
          <t>SKÅNE LÄN</t>
        </is>
      </c>
      <c r="E180" t="inlineStr">
        <is>
          <t>ÖRKELLJUNGA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46725-2022</t>
        </is>
      </c>
      <c r="B181" s="1" t="n">
        <v>44851</v>
      </c>
      <c r="C181" s="1" t="n">
        <v>45648</v>
      </c>
      <c r="D181" t="inlineStr">
        <is>
          <t>SKÅNE LÄN</t>
        </is>
      </c>
      <c r="E181" t="inlineStr">
        <is>
          <t>ÖRKELLJUNGA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47890-2022</t>
        </is>
      </c>
      <c r="B182" s="1" t="n">
        <v>44855</v>
      </c>
      <c r="C182" s="1" t="n">
        <v>45648</v>
      </c>
      <c r="D182" t="inlineStr">
        <is>
          <t>SKÅNE LÄN</t>
        </is>
      </c>
      <c r="E182" t="inlineStr">
        <is>
          <t>ÖRKELLJUNGA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47871-2022</t>
        </is>
      </c>
      <c r="B183" s="1" t="n">
        <v>44855</v>
      </c>
      <c r="C183" s="1" t="n">
        <v>45648</v>
      </c>
      <c r="D183" t="inlineStr">
        <is>
          <t>SKÅNE LÄN</t>
        </is>
      </c>
      <c r="E183" t="inlineStr">
        <is>
          <t>ÖRKELLJUNGA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57161-2022</t>
        </is>
      </c>
      <c r="B184" s="1" t="n">
        <v>44895</v>
      </c>
      <c r="C184" s="1" t="n">
        <v>45648</v>
      </c>
      <c r="D184" t="inlineStr">
        <is>
          <t>SKÅNE LÄN</t>
        </is>
      </c>
      <c r="E184" t="inlineStr">
        <is>
          <t>ÖRKELLJUNGA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57208-2022</t>
        </is>
      </c>
      <c r="B185" s="1" t="n">
        <v>44895</v>
      </c>
      <c r="C185" s="1" t="n">
        <v>45648</v>
      </c>
      <c r="D185" t="inlineStr">
        <is>
          <t>SKÅNE LÄN</t>
        </is>
      </c>
      <c r="E185" t="inlineStr">
        <is>
          <t>ÖRKELLJUNGA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57709-2022</t>
        </is>
      </c>
      <c r="B186" s="1" t="n">
        <v>44897</v>
      </c>
      <c r="C186" s="1" t="n">
        <v>45648</v>
      </c>
      <c r="D186" t="inlineStr">
        <is>
          <t>SKÅNE LÄN</t>
        </is>
      </c>
      <c r="E186" t="inlineStr">
        <is>
          <t>ÖRKELLJUNGA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57703-2022</t>
        </is>
      </c>
      <c r="B187" s="1" t="n">
        <v>44897</v>
      </c>
      <c r="C187" s="1" t="n">
        <v>45648</v>
      </c>
      <c r="D187" t="inlineStr">
        <is>
          <t>SKÅNE LÄN</t>
        </is>
      </c>
      <c r="E187" t="inlineStr">
        <is>
          <t>ÖRKELLJUNGA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57795-2022</t>
        </is>
      </c>
      <c r="B188" s="1" t="n">
        <v>44897</v>
      </c>
      <c r="C188" s="1" t="n">
        <v>45648</v>
      </c>
      <c r="D188" t="inlineStr">
        <is>
          <t>SKÅNE LÄN</t>
        </is>
      </c>
      <c r="E188" t="inlineStr">
        <is>
          <t>ÖRKELLJUNGA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58130-2022</t>
        </is>
      </c>
      <c r="B189" s="1" t="n">
        <v>44900</v>
      </c>
      <c r="C189" s="1" t="n">
        <v>45648</v>
      </c>
      <c r="D189" t="inlineStr">
        <is>
          <t>SKÅNE LÄN</t>
        </is>
      </c>
      <c r="E189" t="inlineStr">
        <is>
          <t>ÖRKELLJUNGA</t>
        </is>
      </c>
      <c r="G189" t="n">
        <v>23.2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59862-2022</t>
        </is>
      </c>
      <c r="B190" s="1" t="n">
        <v>44908</v>
      </c>
      <c r="C190" s="1" t="n">
        <v>45648</v>
      </c>
      <c r="D190" t="inlineStr">
        <is>
          <t>SKÅNE LÄN</t>
        </is>
      </c>
      <c r="E190" t="inlineStr">
        <is>
          <t>ÖRKELLJUNGA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62180-2022</t>
        </is>
      </c>
      <c r="B191" s="1" t="n">
        <v>44915</v>
      </c>
      <c r="C191" s="1" t="n">
        <v>45648</v>
      </c>
      <c r="D191" t="inlineStr">
        <is>
          <t>SKÅNE LÄN</t>
        </is>
      </c>
      <c r="E191" t="inlineStr">
        <is>
          <t>ÖRKELLJUNGA</t>
        </is>
      </c>
      <c r="F191" t="inlineStr">
        <is>
          <t>Kyrkan</t>
        </is>
      </c>
      <c r="G191" t="n">
        <v>7.5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62181-2022</t>
        </is>
      </c>
      <c r="B192" s="1" t="n">
        <v>44915</v>
      </c>
      <c r="C192" s="1" t="n">
        <v>45648</v>
      </c>
      <c r="D192" t="inlineStr">
        <is>
          <t>SKÅNE LÄN</t>
        </is>
      </c>
      <c r="E192" t="inlineStr">
        <is>
          <t>ÖRKELLJUNGA</t>
        </is>
      </c>
      <c r="F192" t="inlineStr">
        <is>
          <t>Kyrkan</t>
        </is>
      </c>
      <c r="G192" t="n">
        <v>6.4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39-2023</t>
        </is>
      </c>
      <c r="B193" s="1" t="n">
        <v>44928</v>
      </c>
      <c r="C193" s="1" t="n">
        <v>45648</v>
      </c>
      <c r="D193" t="inlineStr">
        <is>
          <t>SKÅNE LÄN</t>
        </is>
      </c>
      <c r="E193" t="inlineStr">
        <is>
          <t>ÖRKELLJUNGA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387-2023</t>
        </is>
      </c>
      <c r="B194" s="1" t="n">
        <v>44929</v>
      </c>
      <c r="C194" s="1" t="n">
        <v>45648</v>
      </c>
      <c r="D194" t="inlineStr">
        <is>
          <t>SKÅNE LÄN</t>
        </is>
      </c>
      <c r="E194" t="inlineStr">
        <is>
          <t>ÖRKELLJUNGA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981-2023</t>
        </is>
      </c>
      <c r="B195" s="1" t="n">
        <v>44935</v>
      </c>
      <c r="C195" s="1" t="n">
        <v>45648</v>
      </c>
      <c r="D195" t="inlineStr">
        <is>
          <t>SKÅNE LÄN</t>
        </is>
      </c>
      <c r="E195" t="inlineStr">
        <is>
          <t>ÖRKELLJUNGA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1397-2023</t>
        </is>
      </c>
      <c r="B196" s="1" t="n">
        <v>44936</v>
      </c>
      <c r="C196" s="1" t="n">
        <v>45648</v>
      </c>
      <c r="D196" t="inlineStr">
        <is>
          <t>SKÅNE LÄN</t>
        </is>
      </c>
      <c r="E196" t="inlineStr">
        <is>
          <t>ÖRKELLJUNGA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1538-2023</t>
        </is>
      </c>
      <c r="B197" s="1" t="n">
        <v>44937</v>
      </c>
      <c r="C197" s="1" t="n">
        <v>45648</v>
      </c>
      <c r="D197" t="inlineStr">
        <is>
          <t>SKÅNE LÄN</t>
        </is>
      </c>
      <c r="E197" t="inlineStr">
        <is>
          <t>ÖRKELLJUNGA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2081-2023</t>
        </is>
      </c>
      <c r="B198" s="1" t="n">
        <v>44939</v>
      </c>
      <c r="C198" s="1" t="n">
        <v>45648</v>
      </c>
      <c r="D198" t="inlineStr">
        <is>
          <t>SKÅNE LÄN</t>
        </is>
      </c>
      <c r="E198" t="inlineStr">
        <is>
          <t>ÖRKELLJUNGA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2088-2023</t>
        </is>
      </c>
      <c r="B199" s="1" t="n">
        <v>44939</v>
      </c>
      <c r="C199" s="1" t="n">
        <v>45648</v>
      </c>
      <c r="D199" t="inlineStr">
        <is>
          <t>SKÅNE LÄN</t>
        </is>
      </c>
      <c r="E199" t="inlineStr">
        <is>
          <t>ÖRKELLJUNGA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1900-2023</t>
        </is>
      </c>
      <c r="B200" s="1" t="n">
        <v>44939</v>
      </c>
      <c r="C200" s="1" t="n">
        <v>45648</v>
      </c>
      <c r="D200" t="inlineStr">
        <is>
          <t>SKÅNE LÄN</t>
        </is>
      </c>
      <c r="E200" t="inlineStr">
        <is>
          <t>ÖRKELLJUNGA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2092-2023</t>
        </is>
      </c>
      <c r="B201" s="1" t="n">
        <v>44939</v>
      </c>
      <c r="C201" s="1" t="n">
        <v>45648</v>
      </c>
      <c r="D201" t="inlineStr">
        <is>
          <t>SKÅNE LÄN</t>
        </is>
      </c>
      <c r="E201" t="inlineStr">
        <is>
          <t>ÖRKELLJUNGA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2090-2023</t>
        </is>
      </c>
      <c r="B202" s="1" t="n">
        <v>44939</v>
      </c>
      <c r="C202" s="1" t="n">
        <v>45648</v>
      </c>
      <c r="D202" t="inlineStr">
        <is>
          <t>SKÅNE LÄN</t>
        </is>
      </c>
      <c r="E202" t="inlineStr">
        <is>
          <t>ÖRKELLJUNGA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2086-2023</t>
        </is>
      </c>
      <c r="B203" s="1" t="n">
        <v>44939</v>
      </c>
      <c r="C203" s="1" t="n">
        <v>45648</v>
      </c>
      <c r="D203" t="inlineStr">
        <is>
          <t>SKÅNE LÄN</t>
        </is>
      </c>
      <c r="E203" t="inlineStr">
        <is>
          <t>ÖRKELLJUNGA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2359-2023</t>
        </is>
      </c>
      <c r="B204" s="1" t="n">
        <v>44942</v>
      </c>
      <c r="C204" s="1" t="n">
        <v>45648</v>
      </c>
      <c r="D204" t="inlineStr">
        <is>
          <t>SKÅNE LÄN</t>
        </is>
      </c>
      <c r="E204" t="inlineStr">
        <is>
          <t>ÖRKELLJUNGA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3864-2023</t>
        </is>
      </c>
      <c r="B205" s="1" t="n">
        <v>44951</v>
      </c>
      <c r="C205" s="1" t="n">
        <v>45648</v>
      </c>
      <c r="D205" t="inlineStr">
        <is>
          <t>SKÅNE LÄN</t>
        </is>
      </c>
      <c r="E205" t="inlineStr">
        <is>
          <t>ÖRKELLJUNGA</t>
        </is>
      </c>
      <c r="G205" t="n">
        <v>6.2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3926-2023</t>
        </is>
      </c>
      <c r="B206" s="1" t="n">
        <v>44952</v>
      </c>
      <c r="C206" s="1" t="n">
        <v>45648</v>
      </c>
      <c r="D206" t="inlineStr">
        <is>
          <t>SKÅNE LÄN</t>
        </is>
      </c>
      <c r="E206" t="inlineStr">
        <is>
          <t>ÖRKELLJUNGA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3932-2023</t>
        </is>
      </c>
      <c r="B207" s="1" t="n">
        <v>44952</v>
      </c>
      <c r="C207" s="1" t="n">
        <v>45648</v>
      </c>
      <c r="D207" t="inlineStr">
        <is>
          <t>SKÅNE LÄN</t>
        </is>
      </c>
      <c r="E207" t="inlineStr">
        <is>
          <t>ÖRKELLJUNGA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5927-2023</t>
        </is>
      </c>
      <c r="B208" s="1" t="n">
        <v>44963</v>
      </c>
      <c r="C208" s="1" t="n">
        <v>45648</v>
      </c>
      <c r="D208" t="inlineStr">
        <is>
          <t>SKÅNE LÄN</t>
        </is>
      </c>
      <c r="E208" t="inlineStr">
        <is>
          <t>ÖRKELLJUNGA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6410-2023</t>
        </is>
      </c>
      <c r="B209" s="1" t="n">
        <v>44965</v>
      </c>
      <c r="C209" s="1" t="n">
        <v>45648</v>
      </c>
      <c r="D209" t="inlineStr">
        <is>
          <t>SKÅNE LÄN</t>
        </is>
      </c>
      <c r="E209" t="inlineStr">
        <is>
          <t>ÖRKELLJUNGA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8204-2023</t>
        </is>
      </c>
      <c r="B210" s="1" t="n">
        <v>44971</v>
      </c>
      <c r="C210" s="1" t="n">
        <v>45648</v>
      </c>
      <c r="D210" t="inlineStr">
        <is>
          <t>SKÅNE LÄN</t>
        </is>
      </c>
      <c r="E210" t="inlineStr">
        <is>
          <t>ÖRKELLJUNGA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7978-2023</t>
        </is>
      </c>
      <c r="B211" s="1" t="n">
        <v>44973</v>
      </c>
      <c r="C211" s="1" t="n">
        <v>45648</v>
      </c>
      <c r="D211" t="inlineStr">
        <is>
          <t>SKÅNE LÄN</t>
        </is>
      </c>
      <c r="E211" t="inlineStr">
        <is>
          <t>ÖRKELLJUNGA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9691-2023</t>
        </is>
      </c>
      <c r="B212" s="1" t="n">
        <v>44984</v>
      </c>
      <c r="C212" s="1" t="n">
        <v>45648</v>
      </c>
      <c r="D212" t="inlineStr">
        <is>
          <t>SKÅNE LÄN</t>
        </is>
      </c>
      <c r="E212" t="inlineStr">
        <is>
          <t>ÖRKELLJUNGA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9696-2023</t>
        </is>
      </c>
      <c r="B213" s="1" t="n">
        <v>44984</v>
      </c>
      <c r="C213" s="1" t="n">
        <v>45648</v>
      </c>
      <c r="D213" t="inlineStr">
        <is>
          <t>SKÅNE LÄN</t>
        </is>
      </c>
      <c r="E213" t="inlineStr">
        <is>
          <t>ÖRKELLJUNGA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9695-2023</t>
        </is>
      </c>
      <c r="B214" s="1" t="n">
        <v>44984</v>
      </c>
      <c r="C214" s="1" t="n">
        <v>45648</v>
      </c>
      <c r="D214" t="inlineStr">
        <is>
          <t>SKÅNE LÄN</t>
        </is>
      </c>
      <c r="E214" t="inlineStr">
        <is>
          <t>ÖRKELLJUNGA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10709-2023</t>
        </is>
      </c>
      <c r="B215" s="1" t="n">
        <v>44988</v>
      </c>
      <c r="C215" s="1" t="n">
        <v>45648</v>
      </c>
      <c r="D215" t="inlineStr">
        <is>
          <t>SKÅNE LÄN</t>
        </is>
      </c>
      <c r="E215" t="inlineStr">
        <is>
          <t>ÖRKELLJUNGA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10824-2023</t>
        </is>
      </c>
      <c r="B216" s="1" t="n">
        <v>44990</v>
      </c>
      <c r="C216" s="1" t="n">
        <v>45648</v>
      </c>
      <c r="D216" t="inlineStr">
        <is>
          <t>SKÅNE LÄN</t>
        </is>
      </c>
      <c r="E216" t="inlineStr">
        <is>
          <t>ÖRKELLJUNGA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11605-2023</t>
        </is>
      </c>
      <c r="B217" s="1" t="n">
        <v>44994</v>
      </c>
      <c r="C217" s="1" t="n">
        <v>45648</v>
      </c>
      <c r="D217" t="inlineStr">
        <is>
          <t>SKÅNE LÄN</t>
        </is>
      </c>
      <c r="E217" t="inlineStr">
        <is>
          <t>ÖRKELLJUNGA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12483-2023</t>
        </is>
      </c>
      <c r="B218" s="1" t="n">
        <v>44999</v>
      </c>
      <c r="C218" s="1" t="n">
        <v>45648</v>
      </c>
      <c r="D218" t="inlineStr">
        <is>
          <t>SKÅNE LÄN</t>
        </is>
      </c>
      <c r="E218" t="inlineStr">
        <is>
          <t>ÖRKELLJUNGA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13068-2023</t>
        </is>
      </c>
      <c r="B219" s="1" t="n">
        <v>45002</v>
      </c>
      <c r="C219" s="1" t="n">
        <v>45648</v>
      </c>
      <c r="D219" t="inlineStr">
        <is>
          <t>SKÅNE LÄN</t>
        </is>
      </c>
      <c r="E219" t="inlineStr">
        <is>
          <t>ÖRKELLJUNGA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14254-2023</t>
        </is>
      </c>
      <c r="B220" s="1" t="n">
        <v>45009</v>
      </c>
      <c r="C220" s="1" t="n">
        <v>45648</v>
      </c>
      <c r="D220" t="inlineStr">
        <is>
          <t>SKÅNE LÄN</t>
        </is>
      </c>
      <c r="E220" t="inlineStr">
        <is>
          <t>ÖRKELLJUNGA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14305-2023</t>
        </is>
      </c>
      <c r="B221" s="1" t="n">
        <v>45011</v>
      </c>
      <c r="C221" s="1" t="n">
        <v>45648</v>
      </c>
      <c r="D221" t="inlineStr">
        <is>
          <t>SKÅNE LÄN</t>
        </is>
      </c>
      <c r="E221" t="inlineStr">
        <is>
          <t>ÖRKELLJUNGA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14430-2023</t>
        </is>
      </c>
      <c r="B222" s="1" t="n">
        <v>45012</v>
      </c>
      <c r="C222" s="1" t="n">
        <v>45648</v>
      </c>
      <c r="D222" t="inlineStr">
        <is>
          <t>SKÅNE LÄN</t>
        </is>
      </c>
      <c r="E222" t="inlineStr">
        <is>
          <t>ÖRKELLJUNGA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15344-2023</t>
        </is>
      </c>
      <c r="B223" s="1" t="n">
        <v>45019</v>
      </c>
      <c r="C223" s="1" t="n">
        <v>45648</v>
      </c>
      <c r="D223" t="inlineStr">
        <is>
          <t>SKÅNE LÄN</t>
        </is>
      </c>
      <c r="E223" t="inlineStr">
        <is>
          <t>ÖRKELLJUNGA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17458-2023</t>
        </is>
      </c>
      <c r="B224" s="1" t="n">
        <v>45034</v>
      </c>
      <c r="C224" s="1" t="n">
        <v>45648</v>
      </c>
      <c r="D224" t="inlineStr">
        <is>
          <t>SKÅNE LÄN</t>
        </is>
      </c>
      <c r="E224" t="inlineStr">
        <is>
          <t>ÖRKELLJUNGA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17641-2023</t>
        </is>
      </c>
      <c r="B225" s="1" t="n">
        <v>45035</v>
      </c>
      <c r="C225" s="1" t="n">
        <v>45648</v>
      </c>
      <c r="D225" t="inlineStr">
        <is>
          <t>SKÅNE LÄN</t>
        </is>
      </c>
      <c r="E225" t="inlineStr">
        <is>
          <t>ÖRKELLJUNGA</t>
        </is>
      </c>
      <c r="G225" t="n">
        <v>7.3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17737-2023</t>
        </is>
      </c>
      <c r="B226" s="1" t="n">
        <v>45037</v>
      </c>
      <c r="C226" s="1" t="n">
        <v>45648</v>
      </c>
      <c r="D226" t="inlineStr">
        <is>
          <t>SKÅNE LÄN</t>
        </is>
      </c>
      <c r="E226" t="inlineStr">
        <is>
          <t>ÖRKELLJUNGA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19390-2023</t>
        </is>
      </c>
      <c r="B227" s="1" t="n">
        <v>45048</v>
      </c>
      <c r="C227" s="1" t="n">
        <v>45648</v>
      </c>
      <c r="D227" t="inlineStr">
        <is>
          <t>SKÅNE LÄN</t>
        </is>
      </c>
      <c r="E227" t="inlineStr">
        <is>
          <t>ÖRKELLJUNGA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19258-2023</t>
        </is>
      </c>
      <c r="B228" s="1" t="n">
        <v>45049</v>
      </c>
      <c r="C228" s="1" t="n">
        <v>45648</v>
      </c>
      <c r="D228" t="inlineStr">
        <is>
          <t>SKÅNE LÄN</t>
        </is>
      </c>
      <c r="E228" t="inlineStr">
        <is>
          <t>ÖRKELLJUNGA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20758-2023</t>
        </is>
      </c>
      <c r="B229" s="1" t="n">
        <v>45058</v>
      </c>
      <c r="C229" s="1" t="n">
        <v>45648</v>
      </c>
      <c r="D229" t="inlineStr">
        <is>
          <t>SKÅNE LÄN</t>
        </is>
      </c>
      <c r="E229" t="inlineStr">
        <is>
          <t>ÖRKELLJUNGA</t>
        </is>
      </c>
      <c r="G229" t="n">
        <v>8.6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21065-2023</t>
        </is>
      </c>
      <c r="B230" s="1" t="n">
        <v>45061</v>
      </c>
      <c r="C230" s="1" t="n">
        <v>45648</v>
      </c>
      <c r="D230" t="inlineStr">
        <is>
          <t>SKÅNE LÄN</t>
        </is>
      </c>
      <c r="E230" t="inlineStr">
        <is>
          <t>ÖRKELLJUNGA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21578-2023</t>
        </is>
      </c>
      <c r="B231" s="1" t="n">
        <v>45063</v>
      </c>
      <c r="C231" s="1" t="n">
        <v>45648</v>
      </c>
      <c r="D231" t="inlineStr">
        <is>
          <t>SKÅNE LÄN</t>
        </is>
      </c>
      <c r="E231" t="inlineStr">
        <is>
          <t>ÖRKELLJUNGA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22160-2023</t>
        </is>
      </c>
      <c r="B232" s="1" t="n">
        <v>45069</v>
      </c>
      <c r="C232" s="1" t="n">
        <v>45648</v>
      </c>
      <c r="D232" t="inlineStr">
        <is>
          <t>SKÅNE LÄN</t>
        </is>
      </c>
      <c r="E232" t="inlineStr">
        <is>
          <t>ÖRKELLJUNGA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22975-2023</t>
        </is>
      </c>
      <c r="B233" s="1" t="n">
        <v>45072</v>
      </c>
      <c r="C233" s="1" t="n">
        <v>45648</v>
      </c>
      <c r="D233" t="inlineStr">
        <is>
          <t>SKÅNE LÄN</t>
        </is>
      </c>
      <c r="E233" t="inlineStr">
        <is>
          <t>ÖRKELLJUNGA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23235-2023</t>
        </is>
      </c>
      <c r="B234" s="1" t="n">
        <v>45075</v>
      </c>
      <c r="C234" s="1" t="n">
        <v>45648</v>
      </c>
      <c r="D234" t="inlineStr">
        <is>
          <t>SKÅNE LÄN</t>
        </is>
      </c>
      <c r="E234" t="inlineStr">
        <is>
          <t>ÖRKELLJUNGA</t>
        </is>
      </c>
      <c r="F234" t="inlineStr">
        <is>
          <t>Kommuner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23322-2023</t>
        </is>
      </c>
      <c r="B235" s="1" t="n">
        <v>45076</v>
      </c>
      <c r="C235" s="1" t="n">
        <v>45648</v>
      </c>
      <c r="D235" t="inlineStr">
        <is>
          <t>SKÅNE LÄN</t>
        </is>
      </c>
      <c r="E235" t="inlineStr">
        <is>
          <t>ÖRKELLJUNGA</t>
        </is>
      </c>
      <c r="F235" t="inlineStr">
        <is>
          <t>Kommuner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23693-2023</t>
        </is>
      </c>
      <c r="B236" s="1" t="n">
        <v>45077</v>
      </c>
      <c r="C236" s="1" t="n">
        <v>45648</v>
      </c>
      <c r="D236" t="inlineStr">
        <is>
          <t>SKÅNE LÄN</t>
        </is>
      </c>
      <c r="E236" t="inlineStr">
        <is>
          <t>ÖRKELLJUNGA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23691-2023</t>
        </is>
      </c>
      <c r="B237" s="1" t="n">
        <v>45077</v>
      </c>
      <c r="C237" s="1" t="n">
        <v>45648</v>
      </c>
      <c r="D237" t="inlineStr">
        <is>
          <t>SKÅNE LÄN</t>
        </is>
      </c>
      <c r="E237" t="inlineStr">
        <is>
          <t>ÖRKELLJUNGA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23739-2023</t>
        </is>
      </c>
      <c r="B238" s="1" t="n">
        <v>45077</v>
      </c>
      <c r="C238" s="1" t="n">
        <v>45648</v>
      </c>
      <c r="D238" t="inlineStr">
        <is>
          <t>SKÅNE LÄN</t>
        </is>
      </c>
      <c r="E238" t="inlineStr">
        <is>
          <t>ÖRKELLJUNGA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23740-2023</t>
        </is>
      </c>
      <c r="B239" s="1" t="n">
        <v>45077</v>
      </c>
      <c r="C239" s="1" t="n">
        <v>45648</v>
      </c>
      <c r="D239" t="inlineStr">
        <is>
          <t>SKÅNE LÄN</t>
        </is>
      </c>
      <c r="E239" t="inlineStr">
        <is>
          <t>ÖRKELLJUNGA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23692-2023</t>
        </is>
      </c>
      <c r="B240" s="1" t="n">
        <v>45077</v>
      </c>
      <c r="C240" s="1" t="n">
        <v>45648</v>
      </c>
      <c r="D240" t="inlineStr">
        <is>
          <t>SKÅNE LÄN</t>
        </is>
      </c>
      <c r="E240" t="inlineStr">
        <is>
          <t>ÖRKELLJUNGA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23898-2023</t>
        </is>
      </c>
      <c r="B241" s="1" t="n">
        <v>45078</v>
      </c>
      <c r="C241" s="1" t="n">
        <v>45648</v>
      </c>
      <c r="D241" t="inlineStr">
        <is>
          <t>SKÅNE LÄN</t>
        </is>
      </c>
      <c r="E241" t="inlineStr">
        <is>
          <t>ÖRKELLJUNGA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23990-2023</t>
        </is>
      </c>
      <c r="B242" s="1" t="n">
        <v>45078</v>
      </c>
      <c r="C242" s="1" t="n">
        <v>45648</v>
      </c>
      <c r="D242" t="inlineStr">
        <is>
          <t>SKÅNE LÄN</t>
        </is>
      </c>
      <c r="E242" t="inlineStr">
        <is>
          <t>ÖRKELLJUNGA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23985-2023</t>
        </is>
      </c>
      <c r="B243" s="1" t="n">
        <v>45078</v>
      </c>
      <c r="C243" s="1" t="n">
        <v>45648</v>
      </c>
      <c r="D243" t="inlineStr">
        <is>
          <t>SKÅNE LÄN</t>
        </is>
      </c>
      <c r="E243" t="inlineStr">
        <is>
          <t>ÖRKELLJUNGA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24154-2023</t>
        </is>
      </c>
      <c r="B244" s="1" t="n">
        <v>45079</v>
      </c>
      <c r="C244" s="1" t="n">
        <v>45648</v>
      </c>
      <c r="D244" t="inlineStr">
        <is>
          <t>SKÅNE LÄN</t>
        </is>
      </c>
      <c r="E244" t="inlineStr">
        <is>
          <t>ÖRKELLJUNGA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24775-2023</t>
        </is>
      </c>
      <c r="B245" s="1" t="n">
        <v>45084</v>
      </c>
      <c r="C245" s="1" t="n">
        <v>45648</v>
      </c>
      <c r="D245" t="inlineStr">
        <is>
          <t>SKÅNE LÄN</t>
        </is>
      </c>
      <c r="E245" t="inlineStr">
        <is>
          <t>ÖRKELLJUNGA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24765-2023</t>
        </is>
      </c>
      <c r="B246" s="1" t="n">
        <v>45084</v>
      </c>
      <c r="C246" s="1" t="n">
        <v>45648</v>
      </c>
      <c r="D246" t="inlineStr">
        <is>
          <t>SKÅNE LÄN</t>
        </is>
      </c>
      <c r="E246" t="inlineStr">
        <is>
          <t>ÖRKELLJUNGA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25958-2023</t>
        </is>
      </c>
      <c r="B247" s="1" t="n">
        <v>45090</v>
      </c>
      <c r="C247" s="1" t="n">
        <v>45648</v>
      </c>
      <c r="D247" t="inlineStr">
        <is>
          <t>SKÅNE LÄN</t>
        </is>
      </c>
      <c r="E247" t="inlineStr">
        <is>
          <t>ÖRKELLJUNGA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25962-2023</t>
        </is>
      </c>
      <c r="B248" s="1" t="n">
        <v>45090</v>
      </c>
      <c r="C248" s="1" t="n">
        <v>45648</v>
      </c>
      <c r="D248" t="inlineStr">
        <is>
          <t>SKÅNE LÄN</t>
        </is>
      </c>
      <c r="E248" t="inlineStr">
        <is>
          <t>ÖRKELLJUNGA</t>
        </is>
      </c>
      <c r="G248" t="n">
        <v>7.3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25966-2023</t>
        </is>
      </c>
      <c r="B249" s="1" t="n">
        <v>45090</v>
      </c>
      <c r="C249" s="1" t="n">
        <v>45648</v>
      </c>
      <c r="D249" t="inlineStr">
        <is>
          <t>SKÅNE LÄN</t>
        </is>
      </c>
      <c r="E249" t="inlineStr">
        <is>
          <t>ÖRKELLJUNGA</t>
        </is>
      </c>
      <c r="G249" t="n">
        <v>4.9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25959-2023</t>
        </is>
      </c>
      <c r="B250" s="1" t="n">
        <v>45090</v>
      </c>
      <c r="C250" s="1" t="n">
        <v>45648</v>
      </c>
      <c r="D250" t="inlineStr">
        <is>
          <t>SKÅNE LÄN</t>
        </is>
      </c>
      <c r="E250" t="inlineStr">
        <is>
          <t>ÖRKELLJUNGA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25963-2023</t>
        </is>
      </c>
      <c r="B251" s="1" t="n">
        <v>45090</v>
      </c>
      <c r="C251" s="1" t="n">
        <v>45648</v>
      </c>
      <c r="D251" t="inlineStr">
        <is>
          <t>SKÅNE LÄN</t>
        </is>
      </c>
      <c r="E251" t="inlineStr">
        <is>
          <t>ÖRKELLJUNGA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25967-2023</t>
        </is>
      </c>
      <c r="B252" s="1" t="n">
        <v>45090</v>
      </c>
      <c r="C252" s="1" t="n">
        <v>45648</v>
      </c>
      <c r="D252" t="inlineStr">
        <is>
          <t>SKÅNE LÄN</t>
        </is>
      </c>
      <c r="E252" t="inlineStr">
        <is>
          <t>ÖRKELLJUNGA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25956-2023</t>
        </is>
      </c>
      <c r="B253" s="1" t="n">
        <v>45090</v>
      </c>
      <c r="C253" s="1" t="n">
        <v>45648</v>
      </c>
      <c r="D253" t="inlineStr">
        <is>
          <t>SKÅNE LÄN</t>
        </is>
      </c>
      <c r="E253" t="inlineStr">
        <is>
          <t>ÖRKELLJUNGA</t>
        </is>
      </c>
      <c r="G253" t="n">
        <v>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25960-2023</t>
        </is>
      </c>
      <c r="B254" s="1" t="n">
        <v>45090</v>
      </c>
      <c r="C254" s="1" t="n">
        <v>45648</v>
      </c>
      <c r="D254" t="inlineStr">
        <is>
          <t>SKÅNE LÄN</t>
        </is>
      </c>
      <c r="E254" t="inlineStr">
        <is>
          <t>ÖRKELLJUNGA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25964-2023</t>
        </is>
      </c>
      <c r="B255" s="1" t="n">
        <v>45090</v>
      </c>
      <c r="C255" s="1" t="n">
        <v>45648</v>
      </c>
      <c r="D255" t="inlineStr">
        <is>
          <t>SKÅNE LÄN</t>
        </is>
      </c>
      <c r="E255" t="inlineStr">
        <is>
          <t>ÖRKELLJUNGA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25965-2023</t>
        </is>
      </c>
      <c r="B256" s="1" t="n">
        <v>45090</v>
      </c>
      <c r="C256" s="1" t="n">
        <v>45648</v>
      </c>
      <c r="D256" t="inlineStr">
        <is>
          <t>SKÅNE LÄN</t>
        </is>
      </c>
      <c r="E256" t="inlineStr">
        <is>
          <t>ÖRKELLJUNGA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26178-2023</t>
        </is>
      </c>
      <c r="B257" s="1" t="n">
        <v>45091</v>
      </c>
      <c r="C257" s="1" t="n">
        <v>45648</v>
      </c>
      <c r="D257" t="inlineStr">
        <is>
          <t>SKÅNE LÄN</t>
        </is>
      </c>
      <c r="E257" t="inlineStr">
        <is>
          <t>ÖRKELLJUNGA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26179-2023</t>
        </is>
      </c>
      <c r="B258" s="1" t="n">
        <v>45091</v>
      </c>
      <c r="C258" s="1" t="n">
        <v>45648</v>
      </c>
      <c r="D258" t="inlineStr">
        <is>
          <t>SKÅNE LÄN</t>
        </is>
      </c>
      <c r="E258" t="inlineStr">
        <is>
          <t>ÖRKELLJUNGA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27199-2023</t>
        </is>
      </c>
      <c r="B259" s="1" t="n">
        <v>45096</v>
      </c>
      <c r="C259" s="1" t="n">
        <v>45648</v>
      </c>
      <c r="D259" t="inlineStr">
        <is>
          <t>SKÅNE LÄN</t>
        </is>
      </c>
      <c r="E259" t="inlineStr">
        <is>
          <t>ÖRKELLJUNGA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27990-2023</t>
        </is>
      </c>
      <c r="B260" s="1" t="n">
        <v>45098</v>
      </c>
      <c r="C260" s="1" t="n">
        <v>45648</v>
      </c>
      <c r="D260" t="inlineStr">
        <is>
          <t>SKÅNE LÄN</t>
        </is>
      </c>
      <c r="E260" t="inlineStr">
        <is>
          <t>ÖRKELLJUNGA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28227-2023</t>
        </is>
      </c>
      <c r="B261" s="1" t="n">
        <v>45099</v>
      </c>
      <c r="C261" s="1" t="n">
        <v>45648</v>
      </c>
      <c r="D261" t="inlineStr">
        <is>
          <t>SKÅNE LÄN</t>
        </is>
      </c>
      <c r="E261" t="inlineStr">
        <is>
          <t>ÖRKELLJUNGA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28221-2023</t>
        </is>
      </c>
      <c r="B262" s="1" t="n">
        <v>45099</v>
      </c>
      <c r="C262" s="1" t="n">
        <v>45648</v>
      </c>
      <c r="D262" t="inlineStr">
        <is>
          <t>SKÅNE LÄN</t>
        </is>
      </c>
      <c r="E262" t="inlineStr">
        <is>
          <t>ÖRKELLJUNGA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28233-2023</t>
        </is>
      </c>
      <c r="B263" s="1" t="n">
        <v>45099</v>
      </c>
      <c r="C263" s="1" t="n">
        <v>45648</v>
      </c>
      <c r="D263" t="inlineStr">
        <is>
          <t>SKÅNE LÄN</t>
        </is>
      </c>
      <c r="E263" t="inlineStr">
        <is>
          <t>ÖRKELLJUNGA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30638-2023</t>
        </is>
      </c>
      <c r="B264" s="1" t="n">
        <v>45112</v>
      </c>
      <c r="C264" s="1" t="n">
        <v>45648</v>
      </c>
      <c r="D264" t="inlineStr">
        <is>
          <t>SKÅNE LÄN</t>
        </is>
      </c>
      <c r="E264" t="inlineStr">
        <is>
          <t>ÖRKELLJUNGA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32946-2023</t>
        </is>
      </c>
      <c r="B265" s="1" t="n">
        <v>45113</v>
      </c>
      <c r="C265" s="1" t="n">
        <v>45648</v>
      </c>
      <c r="D265" t="inlineStr">
        <is>
          <t>SKÅNE LÄN</t>
        </is>
      </c>
      <c r="E265" t="inlineStr">
        <is>
          <t>ÖRKELLJUNGA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31704-2023</t>
        </is>
      </c>
      <c r="B266" s="1" t="n">
        <v>45117</v>
      </c>
      <c r="C266" s="1" t="n">
        <v>45648</v>
      </c>
      <c r="D266" t="inlineStr">
        <is>
          <t>SKÅNE LÄN</t>
        </is>
      </c>
      <c r="E266" t="inlineStr">
        <is>
          <t>ÖRKELLJUNGA</t>
        </is>
      </c>
      <c r="G266" t="n">
        <v>6.7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31703-2023</t>
        </is>
      </c>
      <c r="B267" s="1" t="n">
        <v>45117</v>
      </c>
      <c r="C267" s="1" t="n">
        <v>45648</v>
      </c>
      <c r="D267" t="inlineStr">
        <is>
          <t>SKÅNE LÄN</t>
        </is>
      </c>
      <c r="E267" t="inlineStr">
        <is>
          <t>ÖRKELLJUNGA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31747-2023</t>
        </is>
      </c>
      <c r="B268" s="1" t="n">
        <v>45118</v>
      </c>
      <c r="C268" s="1" t="n">
        <v>45648</v>
      </c>
      <c r="D268" t="inlineStr">
        <is>
          <t>SKÅNE LÄN</t>
        </is>
      </c>
      <c r="E268" t="inlineStr">
        <is>
          <t>ÖRKELLJUNGA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31751-2023</t>
        </is>
      </c>
      <c r="B269" s="1" t="n">
        <v>45118</v>
      </c>
      <c r="C269" s="1" t="n">
        <v>45648</v>
      </c>
      <c r="D269" t="inlineStr">
        <is>
          <t>SKÅNE LÄN</t>
        </is>
      </c>
      <c r="E269" t="inlineStr">
        <is>
          <t>ÖRKELLJUNGA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31748-2023</t>
        </is>
      </c>
      <c r="B270" s="1" t="n">
        <v>45118</v>
      </c>
      <c r="C270" s="1" t="n">
        <v>45648</v>
      </c>
      <c r="D270" t="inlineStr">
        <is>
          <t>SKÅNE LÄN</t>
        </is>
      </c>
      <c r="E270" t="inlineStr">
        <is>
          <t>ÖRKELLJUNGA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31750-2023</t>
        </is>
      </c>
      <c r="B271" s="1" t="n">
        <v>45118</v>
      </c>
      <c r="C271" s="1" t="n">
        <v>45648</v>
      </c>
      <c r="D271" t="inlineStr">
        <is>
          <t>SKÅNE LÄN</t>
        </is>
      </c>
      <c r="E271" t="inlineStr">
        <is>
          <t>ÖRKELLJUNGA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32372-2023</t>
        </is>
      </c>
      <c r="B272" s="1" t="n">
        <v>45120</v>
      </c>
      <c r="C272" s="1" t="n">
        <v>45648</v>
      </c>
      <c r="D272" t="inlineStr">
        <is>
          <t>SKÅNE LÄN</t>
        </is>
      </c>
      <c r="E272" t="inlineStr">
        <is>
          <t>ÖRKELLJUNGA</t>
        </is>
      </c>
      <c r="G272" t="n">
        <v>6.6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32855-2023</t>
        </is>
      </c>
      <c r="B273" s="1" t="n">
        <v>45124</v>
      </c>
      <c r="C273" s="1" t="n">
        <v>45648</v>
      </c>
      <c r="D273" t="inlineStr">
        <is>
          <t>SKÅNE LÄN</t>
        </is>
      </c>
      <c r="E273" t="inlineStr">
        <is>
          <t>ÖRKELLJUNGA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33796-2023</t>
        </is>
      </c>
      <c r="B274" s="1" t="n">
        <v>45133</v>
      </c>
      <c r="C274" s="1" t="n">
        <v>45648</v>
      </c>
      <c r="D274" t="inlineStr">
        <is>
          <t>SKÅNE LÄN</t>
        </is>
      </c>
      <c r="E274" t="inlineStr">
        <is>
          <t>ÖRKELLJUNGA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33787-2023</t>
        </is>
      </c>
      <c r="B275" s="1" t="n">
        <v>45133</v>
      </c>
      <c r="C275" s="1" t="n">
        <v>45648</v>
      </c>
      <c r="D275" t="inlineStr">
        <is>
          <t>SKÅNE LÄN</t>
        </is>
      </c>
      <c r="E275" t="inlineStr">
        <is>
          <t>ÖRKELLJUNGA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33789-2023</t>
        </is>
      </c>
      <c r="B276" s="1" t="n">
        <v>45133</v>
      </c>
      <c r="C276" s="1" t="n">
        <v>45648</v>
      </c>
      <c r="D276" t="inlineStr">
        <is>
          <t>SKÅNE LÄN</t>
        </is>
      </c>
      <c r="E276" t="inlineStr">
        <is>
          <t>ÖRKELLJUNGA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34279-2023</t>
        </is>
      </c>
      <c r="B277" s="1" t="n">
        <v>45138</v>
      </c>
      <c r="C277" s="1" t="n">
        <v>45648</v>
      </c>
      <c r="D277" t="inlineStr">
        <is>
          <t>SKÅNE LÄN</t>
        </is>
      </c>
      <c r="E277" t="inlineStr">
        <is>
          <t>ÖRKELLJUNGA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34522-2023</t>
        </is>
      </c>
      <c r="B278" s="1" t="n">
        <v>45140</v>
      </c>
      <c r="C278" s="1" t="n">
        <v>45648</v>
      </c>
      <c r="D278" t="inlineStr">
        <is>
          <t>SKÅNE LÄN</t>
        </is>
      </c>
      <c r="E278" t="inlineStr">
        <is>
          <t>ÖRKELLJUNGA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34516-2023</t>
        </is>
      </c>
      <c r="B279" s="1" t="n">
        <v>45140</v>
      </c>
      <c r="C279" s="1" t="n">
        <v>45648</v>
      </c>
      <c r="D279" t="inlineStr">
        <is>
          <t>SKÅNE LÄN</t>
        </is>
      </c>
      <c r="E279" t="inlineStr">
        <is>
          <t>ÖRKELLJUNGA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34517-2023</t>
        </is>
      </c>
      <c r="B280" s="1" t="n">
        <v>45140</v>
      </c>
      <c r="C280" s="1" t="n">
        <v>45648</v>
      </c>
      <c r="D280" t="inlineStr">
        <is>
          <t>SKÅNE LÄN</t>
        </is>
      </c>
      <c r="E280" t="inlineStr">
        <is>
          <t>ÖRKELLJUNGA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34520-2023</t>
        </is>
      </c>
      <c r="B281" s="1" t="n">
        <v>45140</v>
      </c>
      <c r="C281" s="1" t="n">
        <v>45648</v>
      </c>
      <c r="D281" t="inlineStr">
        <is>
          <t>SKÅNE LÄN</t>
        </is>
      </c>
      <c r="E281" t="inlineStr">
        <is>
          <t>ÖRKELLJUNGA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34521-2023</t>
        </is>
      </c>
      <c r="B282" s="1" t="n">
        <v>45140</v>
      </c>
      <c r="C282" s="1" t="n">
        <v>45648</v>
      </c>
      <c r="D282" t="inlineStr">
        <is>
          <t>SKÅNE LÄN</t>
        </is>
      </c>
      <c r="E282" t="inlineStr">
        <is>
          <t>ÖRKELLJUNGA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34591-2023</t>
        </is>
      </c>
      <c r="B283" s="1" t="n">
        <v>45140</v>
      </c>
      <c r="C283" s="1" t="n">
        <v>45648</v>
      </c>
      <c r="D283" t="inlineStr">
        <is>
          <t>SKÅNE LÄN</t>
        </is>
      </c>
      <c r="E283" t="inlineStr">
        <is>
          <t>ÖRKELLJUNGA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34595-2023</t>
        </is>
      </c>
      <c r="B284" s="1" t="n">
        <v>45140</v>
      </c>
      <c r="C284" s="1" t="n">
        <v>45648</v>
      </c>
      <c r="D284" t="inlineStr">
        <is>
          <t>SKÅNE LÄN</t>
        </is>
      </c>
      <c r="E284" t="inlineStr">
        <is>
          <t>ÖRKELLJUNGA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34601-2023</t>
        </is>
      </c>
      <c r="B285" s="1" t="n">
        <v>45140</v>
      </c>
      <c r="C285" s="1" t="n">
        <v>45648</v>
      </c>
      <c r="D285" t="inlineStr">
        <is>
          <t>SKÅNE LÄN</t>
        </is>
      </c>
      <c r="E285" t="inlineStr">
        <is>
          <t>ÖRKELLJUNGA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37620-2023</t>
        </is>
      </c>
      <c r="B286" s="1" t="n">
        <v>45159</v>
      </c>
      <c r="C286" s="1" t="n">
        <v>45648</v>
      </c>
      <c r="D286" t="inlineStr">
        <is>
          <t>SKÅNE LÄN</t>
        </is>
      </c>
      <c r="E286" t="inlineStr">
        <is>
          <t>ÖRKELLJUNGA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37628-2023</t>
        </is>
      </c>
      <c r="B287" s="1" t="n">
        <v>45159</v>
      </c>
      <c r="C287" s="1" t="n">
        <v>45648</v>
      </c>
      <c r="D287" t="inlineStr">
        <is>
          <t>SKÅNE LÄN</t>
        </is>
      </c>
      <c r="E287" t="inlineStr">
        <is>
          <t>ÖRKELLJUNGA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38214-2023</t>
        </is>
      </c>
      <c r="B288" s="1" t="n">
        <v>45161</v>
      </c>
      <c r="C288" s="1" t="n">
        <v>45648</v>
      </c>
      <c r="D288" t="inlineStr">
        <is>
          <t>SKÅNE LÄN</t>
        </is>
      </c>
      <c r="E288" t="inlineStr">
        <is>
          <t>ÖRKELLJUNGA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39622-2023</t>
        </is>
      </c>
      <c r="B289" s="1" t="n">
        <v>45163</v>
      </c>
      <c r="C289" s="1" t="n">
        <v>45648</v>
      </c>
      <c r="D289" t="inlineStr">
        <is>
          <t>SKÅNE LÄN</t>
        </is>
      </c>
      <c r="E289" t="inlineStr">
        <is>
          <t>ÖRKELLJUNGA</t>
        </is>
      </c>
      <c r="G289" t="n">
        <v>10.7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39531-2023</t>
        </is>
      </c>
      <c r="B290" s="1" t="n">
        <v>45167</v>
      </c>
      <c r="C290" s="1" t="n">
        <v>45648</v>
      </c>
      <c r="D290" t="inlineStr">
        <is>
          <t>SKÅNE LÄN</t>
        </is>
      </c>
      <c r="E290" t="inlineStr">
        <is>
          <t>ÖRKELLJUNGA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39534-2023</t>
        </is>
      </c>
      <c r="B291" s="1" t="n">
        <v>45167</v>
      </c>
      <c r="C291" s="1" t="n">
        <v>45648</v>
      </c>
      <c r="D291" t="inlineStr">
        <is>
          <t>SKÅNE LÄN</t>
        </is>
      </c>
      <c r="E291" t="inlineStr">
        <is>
          <t>ÖRKELLJUNGA</t>
        </is>
      </c>
      <c r="G291" t="n">
        <v>8.6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39659-2023</t>
        </is>
      </c>
      <c r="B292" s="1" t="n">
        <v>45167</v>
      </c>
      <c r="C292" s="1" t="n">
        <v>45648</v>
      </c>
      <c r="D292" t="inlineStr">
        <is>
          <t>SKÅNE LÄN</t>
        </is>
      </c>
      <c r="E292" t="inlineStr">
        <is>
          <t>ÖRKELLJUNGA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39650-2023</t>
        </is>
      </c>
      <c r="B293" s="1" t="n">
        <v>45167</v>
      </c>
      <c r="C293" s="1" t="n">
        <v>45648</v>
      </c>
      <c r="D293" t="inlineStr">
        <is>
          <t>SKÅNE LÄN</t>
        </is>
      </c>
      <c r="E293" t="inlineStr">
        <is>
          <t>ÖRKELLJUNGA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40017-2023</t>
        </is>
      </c>
      <c r="B294" s="1" t="n">
        <v>45168</v>
      </c>
      <c r="C294" s="1" t="n">
        <v>45648</v>
      </c>
      <c r="D294" t="inlineStr">
        <is>
          <t>SKÅNE LÄN</t>
        </is>
      </c>
      <c r="E294" t="inlineStr">
        <is>
          <t>ÖRKELLJUNGA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40814-2023</t>
        </is>
      </c>
      <c r="B295" s="1" t="n">
        <v>45171</v>
      </c>
      <c r="C295" s="1" t="n">
        <v>45648</v>
      </c>
      <c r="D295" t="inlineStr">
        <is>
          <t>SKÅNE LÄN</t>
        </is>
      </c>
      <c r="E295" t="inlineStr">
        <is>
          <t>ÖRKELLJUNGA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42177-2023</t>
        </is>
      </c>
      <c r="B296" s="1" t="n">
        <v>45178</v>
      </c>
      <c r="C296" s="1" t="n">
        <v>45648</v>
      </c>
      <c r="D296" t="inlineStr">
        <is>
          <t>SKÅNE LÄN</t>
        </is>
      </c>
      <c r="E296" t="inlineStr">
        <is>
          <t>ÖRKELLJUNGA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44783-2023</t>
        </is>
      </c>
      <c r="B297" s="1" t="n">
        <v>45186</v>
      </c>
      <c r="C297" s="1" t="n">
        <v>45648</v>
      </c>
      <c r="D297" t="inlineStr">
        <is>
          <t>SKÅNE LÄN</t>
        </is>
      </c>
      <c r="E297" t="inlineStr">
        <is>
          <t>ÖRKELLJUNGA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44454-2023</t>
        </is>
      </c>
      <c r="B298" s="1" t="n">
        <v>45189</v>
      </c>
      <c r="C298" s="1" t="n">
        <v>45648</v>
      </c>
      <c r="D298" t="inlineStr">
        <is>
          <t>SKÅNE LÄN</t>
        </is>
      </c>
      <c r="E298" t="inlineStr">
        <is>
          <t>ÖRKELLJUNGA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45588-2023</t>
        </is>
      </c>
      <c r="B299" s="1" t="n">
        <v>45194</v>
      </c>
      <c r="C299" s="1" t="n">
        <v>45648</v>
      </c>
      <c r="D299" t="inlineStr">
        <is>
          <t>SKÅNE LÄN</t>
        </is>
      </c>
      <c r="E299" t="inlineStr">
        <is>
          <t>ÖRKELLJUNGA</t>
        </is>
      </c>
      <c r="F299" t="inlineStr">
        <is>
          <t>Kyrkan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46683-2023</t>
        </is>
      </c>
      <c r="B300" s="1" t="n">
        <v>45198</v>
      </c>
      <c r="C300" s="1" t="n">
        <v>45648</v>
      </c>
      <c r="D300" t="inlineStr">
        <is>
          <t>SKÅNE LÄN</t>
        </is>
      </c>
      <c r="E300" t="inlineStr">
        <is>
          <t>ÖRKELLJUNGA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49017-2023</t>
        </is>
      </c>
      <c r="B301" s="1" t="n">
        <v>45204</v>
      </c>
      <c r="C301" s="1" t="n">
        <v>45648</v>
      </c>
      <c r="D301" t="inlineStr">
        <is>
          <t>SKÅNE LÄN</t>
        </is>
      </c>
      <c r="E301" t="inlineStr">
        <is>
          <t>ÖRKELLJUNGA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49016-2023</t>
        </is>
      </c>
      <c r="B302" s="1" t="n">
        <v>45204</v>
      </c>
      <c r="C302" s="1" t="n">
        <v>45648</v>
      </c>
      <c r="D302" t="inlineStr">
        <is>
          <t>SKÅNE LÄN</t>
        </is>
      </c>
      <c r="E302" t="inlineStr">
        <is>
          <t>ÖRKELLJUNGA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48966-2023</t>
        </is>
      </c>
      <c r="B303" s="1" t="n">
        <v>45209</v>
      </c>
      <c r="C303" s="1" t="n">
        <v>45648</v>
      </c>
      <c r="D303" t="inlineStr">
        <is>
          <t>SKÅNE LÄN</t>
        </is>
      </c>
      <c r="E303" t="inlineStr">
        <is>
          <t>ÖRKELLJUNGA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50304-2023</t>
        </is>
      </c>
      <c r="B304" s="1" t="n">
        <v>45209</v>
      </c>
      <c r="C304" s="1" t="n">
        <v>45648</v>
      </c>
      <c r="D304" t="inlineStr">
        <is>
          <t>SKÅNE LÄN</t>
        </is>
      </c>
      <c r="E304" t="inlineStr">
        <is>
          <t>ÖRKELLJUNGA</t>
        </is>
      </c>
      <c r="G304" t="n">
        <v>17.9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49049-2023</t>
        </is>
      </c>
      <c r="B305" s="1" t="n">
        <v>45210</v>
      </c>
      <c r="C305" s="1" t="n">
        <v>45648</v>
      </c>
      <c r="D305" t="inlineStr">
        <is>
          <t>SKÅNE LÄN</t>
        </is>
      </c>
      <c r="E305" t="inlineStr">
        <is>
          <t>ÖRKELLJUNGA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49687-2023</t>
        </is>
      </c>
      <c r="B306" s="1" t="n">
        <v>45212</v>
      </c>
      <c r="C306" s="1" t="n">
        <v>45648</v>
      </c>
      <c r="D306" t="inlineStr">
        <is>
          <t>SKÅNE LÄN</t>
        </is>
      </c>
      <c r="E306" t="inlineStr">
        <is>
          <t>ÖRKELLJUNGA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50003-2023</t>
        </is>
      </c>
      <c r="B307" s="1" t="n">
        <v>45215</v>
      </c>
      <c r="C307" s="1" t="n">
        <v>45648</v>
      </c>
      <c r="D307" t="inlineStr">
        <is>
          <t>SKÅNE LÄN</t>
        </is>
      </c>
      <c r="E307" t="inlineStr">
        <is>
          <t>ÖRKELLJUNGA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50279-2023</t>
        </is>
      </c>
      <c r="B308" s="1" t="n">
        <v>45216</v>
      </c>
      <c r="C308" s="1" t="n">
        <v>45648</v>
      </c>
      <c r="D308" t="inlineStr">
        <is>
          <t>SKÅNE LÄN</t>
        </is>
      </c>
      <c r="E308" t="inlineStr">
        <is>
          <t>ÖRKELLJUNGA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50717-2023</t>
        </is>
      </c>
      <c r="B309" s="1" t="n">
        <v>45217</v>
      </c>
      <c r="C309" s="1" t="n">
        <v>45648</v>
      </c>
      <c r="D309" t="inlineStr">
        <is>
          <t>SKÅNE LÄN</t>
        </is>
      </c>
      <c r="E309" t="inlineStr">
        <is>
          <t>ÖRKELLJUNGA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50701-2023</t>
        </is>
      </c>
      <c r="B310" s="1" t="n">
        <v>45217</v>
      </c>
      <c r="C310" s="1" t="n">
        <v>45648</v>
      </c>
      <c r="D310" t="inlineStr">
        <is>
          <t>SKÅNE LÄN</t>
        </is>
      </c>
      <c r="E310" t="inlineStr">
        <is>
          <t>ÖRKELLJUNGA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51577-2023</t>
        </is>
      </c>
      <c r="B311" s="1" t="n">
        <v>45222</v>
      </c>
      <c r="C311" s="1" t="n">
        <v>45648</v>
      </c>
      <c r="D311" t="inlineStr">
        <is>
          <t>SKÅNE LÄN</t>
        </is>
      </c>
      <c r="E311" t="inlineStr">
        <is>
          <t>ÖRKELLJUNGA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53032-2023</t>
        </is>
      </c>
      <c r="B312" s="1" t="n">
        <v>45226</v>
      </c>
      <c r="C312" s="1" t="n">
        <v>45648</v>
      </c>
      <c r="D312" t="inlineStr">
        <is>
          <t>SKÅNE LÄN</t>
        </is>
      </c>
      <c r="E312" t="inlineStr">
        <is>
          <t>ÖRKELLJUNGA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54664-2023</t>
        </is>
      </c>
      <c r="B313" s="1" t="n">
        <v>45235</v>
      </c>
      <c r="C313" s="1" t="n">
        <v>45648</v>
      </c>
      <c r="D313" t="inlineStr">
        <is>
          <t>SKÅNE LÄN</t>
        </is>
      </c>
      <c r="E313" t="inlineStr">
        <is>
          <t>ÖRKELLJUNGA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54668-2023</t>
        </is>
      </c>
      <c r="B314" s="1" t="n">
        <v>45235</v>
      </c>
      <c r="C314" s="1" t="n">
        <v>45648</v>
      </c>
      <c r="D314" t="inlineStr">
        <is>
          <t>SKÅNE LÄN</t>
        </is>
      </c>
      <c r="E314" t="inlineStr">
        <is>
          <t>ÖRKELLJUNGA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54646-2023</t>
        </is>
      </c>
      <c r="B315" s="1" t="n">
        <v>45235</v>
      </c>
      <c r="C315" s="1" t="n">
        <v>45648</v>
      </c>
      <c r="D315" t="inlineStr">
        <is>
          <t>SKÅNE LÄN</t>
        </is>
      </c>
      <c r="E315" t="inlineStr">
        <is>
          <t>ÖRKELLJUNGA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54662-2023</t>
        </is>
      </c>
      <c r="B316" s="1" t="n">
        <v>45235</v>
      </c>
      <c r="C316" s="1" t="n">
        <v>45648</v>
      </c>
      <c r="D316" t="inlineStr">
        <is>
          <t>SKÅNE LÄN</t>
        </is>
      </c>
      <c r="E316" t="inlineStr">
        <is>
          <t>ÖRKELLJUNGA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54666-2023</t>
        </is>
      </c>
      <c r="B317" s="1" t="n">
        <v>45235</v>
      </c>
      <c r="C317" s="1" t="n">
        <v>45648</v>
      </c>
      <c r="D317" t="inlineStr">
        <is>
          <t>SKÅNE LÄN</t>
        </is>
      </c>
      <c r="E317" t="inlineStr">
        <is>
          <t>ÖRKELLJUNGA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54663-2023</t>
        </is>
      </c>
      <c r="B318" s="1" t="n">
        <v>45235</v>
      </c>
      <c r="C318" s="1" t="n">
        <v>45648</v>
      </c>
      <c r="D318" t="inlineStr">
        <is>
          <t>SKÅNE LÄN</t>
        </is>
      </c>
      <c r="E318" t="inlineStr">
        <is>
          <t>ÖRKELLJUNGA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54667-2023</t>
        </is>
      </c>
      <c r="B319" s="1" t="n">
        <v>45235</v>
      </c>
      <c r="C319" s="1" t="n">
        <v>45648</v>
      </c>
      <c r="D319" t="inlineStr">
        <is>
          <t>SKÅNE LÄN</t>
        </is>
      </c>
      <c r="E319" t="inlineStr">
        <is>
          <t>ÖRKELLJUNGA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54645-2023</t>
        </is>
      </c>
      <c r="B320" s="1" t="n">
        <v>45235</v>
      </c>
      <c r="C320" s="1" t="n">
        <v>45648</v>
      </c>
      <c r="D320" t="inlineStr">
        <is>
          <t>SKÅNE LÄN</t>
        </is>
      </c>
      <c r="E320" t="inlineStr">
        <is>
          <t>ÖRKELLJUNGA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54661-2023</t>
        </is>
      </c>
      <c r="B321" s="1" t="n">
        <v>45235</v>
      </c>
      <c r="C321" s="1" t="n">
        <v>45648</v>
      </c>
      <c r="D321" t="inlineStr">
        <is>
          <t>SKÅNE LÄN</t>
        </is>
      </c>
      <c r="E321" t="inlineStr">
        <is>
          <t>ÖRKELLJUNGA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54665-2023</t>
        </is>
      </c>
      <c r="B322" s="1" t="n">
        <v>45235</v>
      </c>
      <c r="C322" s="1" t="n">
        <v>45648</v>
      </c>
      <c r="D322" t="inlineStr">
        <is>
          <t>SKÅNE LÄN</t>
        </is>
      </c>
      <c r="E322" t="inlineStr">
        <is>
          <t>ÖRKELLJUNGA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54669-2023</t>
        </is>
      </c>
      <c r="B323" s="1" t="n">
        <v>45235</v>
      </c>
      <c r="C323" s="1" t="n">
        <v>45648</v>
      </c>
      <c r="D323" t="inlineStr">
        <is>
          <t>SKÅNE LÄN</t>
        </is>
      </c>
      <c r="E323" t="inlineStr">
        <is>
          <t>ÖRKELLJUNGA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54729-2023</t>
        </is>
      </c>
      <c r="B324" s="1" t="n">
        <v>45236</v>
      </c>
      <c r="C324" s="1" t="n">
        <v>45648</v>
      </c>
      <c r="D324" t="inlineStr">
        <is>
          <t>SKÅNE LÄN</t>
        </is>
      </c>
      <c r="E324" t="inlineStr">
        <is>
          <t>ÖRKELLJUNGA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55049-2023</t>
        </is>
      </c>
      <c r="B325" s="1" t="n">
        <v>45237</v>
      </c>
      <c r="C325" s="1" t="n">
        <v>45648</v>
      </c>
      <c r="D325" t="inlineStr">
        <is>
          <t>SKÅNE LÄN</t>
        </is>
      </c>
      <c r="E325" t="inlineStr">
        <is>
          <t>ÖRKELLJUNGA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55047-2023</t>
        </is>
      </c>
      <c r="B326" s="1" t="n">
        <v>45237</v>
      </c>
      <c r="C326" s="1" t="n">
        <v>45648</v>
      </c>
      <c r="D326" t="inlineStr">
        <is>
          <t>SKÅNE LÄN</t>
        </is>
      </c>
      <c r="E326" t="inlineStr">
        <is>
          <t>ÖRKELLJUNGA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56827-2023</t>
        </is>
      </c>
      <c r="B327" s="1" t="n">
        <v>45238</v>
      </c>
      <c r="C327" s="1" t="n">
        <v>45648</v>
      </c>
      <c r="D327" t="inlineStr">
        <is>
          <t>SKÅNE LÄN</t>
        </is>
      </c>
      <c r="E327" t="inlineStr">
        <is>
          <t>ÖRKELLJUNGA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56460-2023</t>
        </is>
      </c>
      <c r="B328" s="1" t="n">
        <v>45243</v>
      </c>
      <c r="C328" s="1" t="n">
        <v>45648</v>
      </c>
      <c r="D328" t="inlineStr">
        <is>
          <t>SKÅNE LÄN</t>
        </is>
      </c>
      <c r="E328" t="inlineStr">
        <is>
          <t>ÖRKELLJUNGA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58284-2023</t>
        </is>
      </c>
      <c r="B329" s="1" t="n">
        <v>45250</v>
      </c>
      <c r="C329" s="1" t="n">
        <v>45648</v>
      </c>
      <c r="D329" t="inlineStr">
        <is>
          <t>SKÅNE LÄN</t>
        </is>
      </c>
      <c r="E329" t="inlineStr">
        <is>
          <t>ÖRKELLJUNGA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59824-2023</t>
        </is>
      </c>
      <c r="B330" s="1" t="n">
        <v>45257</v>
      </c>
      <c r="C330" s="1" t="n">
        <v>45648</v>
      </c>
      <c r="D330" t="inlineStr">
        <is>
          <t>SKÅNE LÄN</t>
        </is>
      </c>
      <c r="E330" t="inlineStr">
        <is>
          <t>ÖRKELLJUNGA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62617-2023</t>
        </is>
      </c>
      <c r="B331" s="1" t="n">
        <v>45271</v>
      </c>
      <c r="C331" s="1" t="n">
        <v>45648</v>
      </c>
      <c r="D331" t="inlineStr">
        <is>
          <t>SKÅNE LÄN</t>
        </is>
      </c>
      <c r="E331" t="inlineStr">
        <is>
          <t>ÖRKELLJUNGA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63029-2023</t>
        </is>
      </c>
      <c r="B332" s="1" t="n">
        <v>45272</v>
      </c>
      <c r="C332" s="1" t="n">
        <v>45648</v>
      </c>
      <c r="D332" t="inlineStr">
        <is>
          <t>SKÅNE LÄN</t>
        </is>
      </c>
      <c r="E332" t="inlineStr">
        <is>
          <t>ÖRKELLJUNGA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63440-2023</t>
        </is>
      </c>
      <c r="B333" s="1" t="n">
        <v>45274</v>
      </c>
      <c r="C333" s="1" t="n">
        <v>45648</v>
      </c>
      <c r="D333" t="inlineStr">
        <is>
          <t>SKÅNE LÄN</t>
        </is>
      </c>
      <c r="E333" t="inlineStr">
        <is>
          <t>ÖRKELLJUNGA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63780-2023</t>
        </is>
      </c>
      <c r="B334" s="1" t="n">
        <v>45278</v>
      </c>
      <c r="C334" s="1" t="n">
        <v>45648</v>
      </c>
      <c r="D334" t="inlineStr">
        <is>
          <t>SKÅNE LÄN</t>
        </is>
      </c>
      <c r="E334" t="inlineStr">
        <is>
          <t>ÖRKELLJUNGA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63783-2023</t>
        </is>
      </c>
      <c r="B335" s="1" t="n">
        <v>45278</v>
      </c>
      <c r="C335" s="1" t="n">
        <v>45648</v>
      </c>
      <c r="D335" t="inlineStr">
        <is>
          <t>SKÅNE LÄN</t>
        </is>
      </c>
      <c r="E335" t="inlineStr">
        <is>
          <t>ÖRKELLJUNGA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64091-2023</t>
        </is>
      </c>
      <c r="B336" s="1" t="n">
        <v>45279</v>
      </c>
      <c r="C336" s="1" t="n">
        <v>45648</v>
      </c>
      <c r="D336" t="inlineStr">
        <is>
          <t>SKÅNE LÄN</t>
        </is>
      </c>
      <c r="E336" t="inlineStr">
        <is>
          <t>ÖRKELLJUNGA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513-2024</t>
        </is>
      </c>
      <c r="B337" s="1" t="n">
        <v>45299</v>
      </c>
      <c r="C337" s="1" t="n">
        <v>45648</v>
      </c>
      <c r="D337" t="inlineStr">
        <is>
          <t>SKÅNE LÄN</t>
        </is>
      </c>
      <c r="E337" t="inlineStr">
        <is>
          <t>ÖRKELLJUNGA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738-2024</t>
        </is>
      </c>
      <c r="B338" s="1" t="n">
        <v>45300</v>
      </c>
      <c r="C338" s="1" t="n">
        <v>45648</v>
      </c>
      <c r="D338" t="inlineStr">
        <is>
          <t>SKÅNE LÄN</t>
        </is>
      </c>
      <c r="E338" t="inlineStr">
        <is>
          <t>ÖRKELLJUNGA</t>
        </is>
      </c>
      <c r="G338" t="n">
        <v>6.6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1493-2024</t>
        </is>
      </c>
      <c r="B339" s="1" t="n">
        <v>45305</v>
      </c>
      <c r="C339" s="1" t="n">
        <v>45648</v>
      </c>
      <c r="D339" t="inlineStr">
        <is>
          <t>SKÅNE LÄN</t>
        </is>
      </c>
      <c r="E339" t="inlineStr">
        <is>
          <t>ÖRKELLJUNGA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1492-2024</t>
        </is>
      </c>
      <c r="B340" s="1" t="n">
        <v>45305</v>
      </c>
      <c r="C340" s="1" t="n">
        <v>45648</v>
      </c>
      <c r="D340" t="inlineStr">
        <is>
          <t>SKÅNE LÄN</t>
        </is>
      </c>
      <c r="E340" t="inlineStr">
        <is>
          <t>ÖRKELLJUNGA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1935-2024</t>
        </is>
      </c>
      <c r="B341" s="1" t="n">
        <v>45308</v>
      </c>
      <c r="C341" s="1" t="n">
        <v>45648</v>
      </c>
      <c r="D341" t="inlineStr">
        <is>
          <t>SKÅNE LÄN</t>
        </is>
      </c>
      <c r="E341" t="inlineStr">
        <is>
          <t>ÖRKELLJUNGA</t>
        </is>
      </c>
      <c r="G341" t="n">
        <v>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3812-2024</t>
        </is>
      </c>
      <c r="B342" s="1" t="n">
        <v>45321</v>
      </c>
      <c r="C342" s="1" t="n">
        <v>45648</v>
      </c>
      <c r="D342" t="inlineStr">
        <is>
          <t>SKÅNE LÄN</t>
        </is>
      </c>
      <c r="E342" t="inlineStr">
        <is>
          <t>ÖRKELLJUNGA</t>
        </is>
      </c>
      <c r="G342" t="n">
        <v>6.7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6124-2024</t>
        </is>
      </c>
      <c r="B343" s="1" t="n">
        <v>45337</v>
      </c>
      <c r="C343" s="1" t="n">
        <v>45648</v>
      </c>
      <c r="D343" t="inlineStr">
        <is>
          <t>SKÅNE LÄN</t>
        </is>
      </c>
      <c r="E343" t="inlineStr">
        <is>
          <t>ÖRKELLJUNGA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6137-2024</t>
        </is>
      </c>
      <c r="B344" s="1" t="n">
        <v>45337</v>
      </c>
      <c r="C344" s="1" t="n">
        <v>45648</v>
      </c>
      <c r="D344" t="inlineStr">
        <is>
          <t>SKÅNE LÄN</t>
        </is>
      </c>
      <c r="E344" t="inlineStr">
        <is>
          <t>ÖRKELLJUNGA</t>
        </is>
      </c>
      <c r="G344" t="n">
        <v>11.7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6796-2024</t>
        </is>
      </c>
      <c r="B345" s="1" t="n">
        <v>45342</v>
      </c>
      <c r="C345" s="1" t="n">
        <v>45648</v>
      </c>
      <c r="D345" t="inlineStr">
        <is>
          <t>SKÅNE LÄN</t>
        </is>
      </c>
      <c r="E345" t="inlineStr">
        <is>
          <t>ÖRKELLJUNGA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7707-2024</t>
        </is>
      </c>
      <c r="B346" s="1" t="n">
        <v>45349</v>
      </c>
      <c r="C346" s="1" t="n">
        <v>45648</v>
      </c>
      <c r="D346" t="inlineStr">
        <is>
          <t>SKÅNE LÄN</t>
        </is>
      </c>
      <c r="E346" t="inlineStr">
        <is>
          <t>ÖRKELLJUNGA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7708-2024</t>
        </is>
      </c>
      <c r="B347" s="1" t="n">
        <v>45349</v>
      </c>
      <c r="C347" s="1" t="n">
        <v>45648</v>
      </c>
      <c r="D347" t="inlineStr">
        <is>
          <t>SKÅNE LÄN</t>
        </is>
      </c>
      <c r="E347" t="inlineStr">
        <is>
          <t>ÖRKELLJUNGA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9748-2024</t>
        </is>
      </c>
      <c r="B348" s="1" t="n">
        <v>45362</v>
      </c>
      <c r="C348" s="1" t="n">
        <v>45648</v>
      </c>
      <c r="D348" t="inlineStr">
        <is>
          <t>SKÅNE LÄN</t>
        </is>
      </c>
      <c r="E348" t="inlineStr">
        <is>
          <t>ÖRKELLJUNGA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9773-2024</t>
        </is>
      </c>
      <c r="B349" s="1" t="n">
        <v>45362</v>
      </c>
      <c r="C349" s="1" t="n">
        <v>45648</v>
      </c>
      <c r="D349" t="inlineStr">
        <is>
          <t>SKÅNE LÄN</t>
        </is>
      </c>
      <c r="E349" t="inlineStr">
        <is>
          <t>ÖRKELLJUNGA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10374-2024</t>
        </is>
      </c>
      <c r="B350" s="1" t="n">
        <v>45365</v>
      </c>
      <c r="C350" s="1" t="n">
        <v>45648</v>
      </c>
      <c r="D350" t="inlineStr">
        <is>
          <t>SKÅNE LÄN</t>
        </is>
      </c>
      <c r="E350" t="inlineStr">
        <is>
          <t>ÖRKELLJUNGA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10379-2024</t>
        </is>
      </c>
      <c r="B351" s="1" t="n">
        <v>45365</v>
      </c>
      <c r="C351" s="1" t="n">
        <v>45648</v>
      </c>
      <c r="D351" t="inlineStr">
        <is>
          <t>SKÅNE LÄN</t>
        </is>
      </c>
      <c r="E351" t="inlineStr">
        <is>
          <t>ÖRKELLJUNGA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14912-2024</t>
        </is>
      </c>
      <c r="B352" s="1" t="n">
        <v>45398</v>
      </c>
      <c r="C352" s="1" t="n">
        <v>45648</v>
      </c>
      <c r="D352" t="inlineStr">
        <is>
          <t>SKÅNE LÄN</t>
        </is>
      </c>
      <c r="E352" t="inlineStr">
        <is>
          <t>ÖRKELLJUNGA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16049-2024</t>
        </is>
      </c>
      <c r="B353" s="1" t="n">
        <v>45405</v>
      </c>
      <c r="C353" s="1" t="n">
        <v>45648</v>
      </c>
      <c r="D353" t="inlineStr">
        <is>
          <t>SKÅNE LÄN</t>
        </is>
      </c>
      <c r="E353" t="inlineStr">
        <is>
          <t>ÖRKELLJUNGA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17745-2024</t>
        </is>
      </c>
      <c r="B354" s="1" t="n">
        <v>45418</v>
      </c>
      <c r="C354" s="1" t="n">
        <v>45648</v>
      </c>
      <c r="D354" t="inlineStr">
        <is>
          <t>SKÅNE LÄN</t>
        </is>
      </c>
      <c r="E354" t="inlineStr">
        <is>
          <t>ÖRKELLJUNGA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18019-2024</t>
        </is>
      </c>
      <c r="B355" s="1" t="n">
        <v>45420</v>
      </c>
      <c r="C355" s="1" t="n">
        <v>45648</v>
      </c>
      <c r="D355" t="inlineStr">
        <is>
          <t>SKÅNE LÄN</t>
        </is>
      </c>
      <c r="E355" t="inlineStr">
        <is>
          <t>ÖRKELLJUNGA</t>
        </is>
      </c>
      <c r="F355" t="inlineStr">
        <is>
          <t>Kommuner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18389-2024</t>
        </is>
      </c>
      <c r="B356" s="1" t="n">
        <v>45424</v>
      </c>
      <c r="C356" s="1" t="n">
        <v>45648</v>
      </c>
      <c r="D356" t="inlineStr">
        <is>
          <t>SKÅNE LÄN</t>
        </is>
      </c>
      <c r="E356" t="inlineStr">
        <is>
          <t>ÖRKELLJUNGA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19440-2024</t>
        </is>
      </c>
      <c r="B357" s="1" t="n">
        <v>45429</v>
      </c>
      <c r="C357" s="1" t="n">
        <v>45648</v>
      </c>
      <c r="D357" t="inlineStr">
        <is>
          <t>SKÅNE LÄN</t>
        </is>
      </c>
      <c r="E357" t="inlineStr">
        <is>
          <t>ÖRKELLJUNGA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19643-2024</t>
        </is>
      </c>
      <c r="B358" s="1" t="n">
        <v>45432</v>
      </c>
      <c r="C358" s="1" t="n">
        <v>45648</v>
      </c>
      <c r="D358" t="inlineStr">
        <is>
          <t>SKÅNE LÄN</t>
        </is>
      </c>
      <c r="E358" t="inlineStr">
        <is>
          <t>ÖRKELLJUNGA</t>
        </is>
      </c>
      <c r="F358" t="inlineStr">
        <is>
          <t>Kommuner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19780-2024</t>
        </is>
      </c>
      <c r="B359" s="1" t="n">
        <v>45432</v>
      </c>
      <c r="C359" s="1" t="n">
        <v>45648</v>
      </c>
      <c r="D359" t="inlineStr">
        <is>
          <t>SKÅNE LÄN</t>
        </is>
      </c>
      <c r="E359" t="inlineStr">
        <is>
          <t>ÖRKELLJUNGA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20492-2024</t>
        </is>
      </c>
      <c r="B360" s="1" t="n">
        <v>45435</v>
      </c>
      <c r="C360" s="1" t="n">
        <v>45648</v>
      </c>
      <c r="D360" t="inlineStr">
        <is>
          <t>SKÅNE LÄN</t>
        </is>
      </c>
      <c r="E360" t="inlineStr">
        <is>
          <t>ÖRKELLJUNGA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21023-2024</t>
        </is>
      </c>
      <c r="B361" s="1" t="n">
        <v>45439</v>
      </c>
      <c r="C361" s="1" t="n">
        <v>45648</v>
      </c>
      <c r="D361" t="inlineStr">
        <is>
          <t>SKÅNE LÄN</t>
        </is>
      </c>
      <c r="E361" t="inlineStr">
        <is>
          <t>ÖRKELLJUNGA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21527-2024</t>
        </is>
      </c>
      <c r="B362" s="1" t="n">
        <v>45441</v>
      </c>
      <c r="C362" s="1" t="n">
        <v>45648</v>
      </c>
      <c r="D362" t="inlineStr">
        <is>
          <t>SKÅNE LÄN</t>
        </is>
      </c>
      <c r="E362" t="inlineStr">
        <is>
          <t>ÖRKELLJUNGA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21910-2024</t>
        </is>
      </c>
      <c r="B363" s="1" t="n">
        <v>45443</v>
      </c>
      <c r="C363" s="1" t="n">
        <v>45648</v>
      </c>
      <c r="D363" t="inlineStr">
        <is>
          <t>SKÅNE LÄN</t>
        </is>
      </c>
      <c r="E363" t="inlineStr">
        <is>
          <t>ÖRKELLJUNGA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22406-2024</t>
        </is>
      </c>
      <c r="B364" s="1" t="n">
        <v>45446</v>
      </c>
      <c r="C364" s="1" t="n">
        <v>45648</v>
      </c>
      <c r="D364" t="inlineStr">
        <is>
          <t>SKÅNE LÄN</t>
        </is>
      </c>
      <c r="E364" t="inlineStr">
        <is>
          <t>ÖRKELLJUNGA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22410-2024</t>
        </is>
      </c>
      <c r="B365" s="1" t="n">
        <v>45446</v>
      </c>
      <c r="C365" s="1" t="n">
        <v>45648</v>
      </c>
      <c r="D365" t="inlineStr">
        <is>
          <t>SKÅNE LÄN</t>
        </is>
      </c>
      <c r="E365" t="inlineStr">
        <is>
          <t>ÖRKELLJUNGA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22391-2024</t>
        </is>
      </c>
      <c r="B366" s="1" t="n">
        <v>45446</v>
      </c>
      <c r="C366" s="1" t="n">
        <v>45648</v>
      </c>
      <c r="D366" t="inlineStr">
        <is>
          <t>SKÅNE LÄN</t>
        </is>
      </c>
      <c r="E366" t="inlineStr">
        <is>
          <t>ÖRKELLJUNGA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22695-2024</t>
        </is>
      </c>
      <c r="B367" s="1" t="n">
        <v>45448</v>
      </c>
      <c r="C367" s="1" t="n">
        <v>45648</v>
      </c>
      <c r="D367" t="inlineStr">
        <is>
          <t>SKÅNE LÄN</t>
        </is>
      </c>
      <c r="E367" t="inlineStr">
        <is>
          <t>ÖRKELLJUNGA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22699-2024</t>
        </is>
      </c>
      <c r="B368" s="1" t="n">
        <v>45448</v>
      </c>
      <c r="C368" s="1" t="n">
        <v>45648</v>
      </c>
      <c r="D368" t="inlineStr">
        <is>
          <t>SKÅNE LÄN</t>
        </is>
      </c>
      <c r="E368" t="inlineStr">
        <is>
          <t>ÖRKELLJUNGA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22728-2024</t>
        </is>
      </c>
      <c r="B369" s="1" t="n">
        <v>45448</v>
      </c>
      <c r="C369" s="1" t="n">
        <v>45648</v>
      </c>
      <c r="D369" t="inlineStr">
        <is>
          <t>SKÅNE LÄN</t>
        </is>
      </c>
      <c r="E369" t="inlineStr">
        <is>
          <t>ÖRKELLJUNGA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26058-2024</t>
        </is>
      </c>
      <c r="B370" s="1" t="n">
        <v>45468</v>
      </c>
      <c r="C370" s="1" t="n">
        <v>45648</v>
      </c>
      <c r="D370" t="inlineStr">
        <is>
          <t>SKÅNE LÄN</t>
        </is>
      </c>
      <c r="E370" t="inlineStr">
        <is>
          <t>ÖRKELLJUNGA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26057-2024</t>
        </is>
      </c>
      <c r="B371" s="1" t="n">
        <v>45468</v>
      </c>
      <c r="C371" s="1" t="n">
        <v>45648</v>
      </c>
      <c r="D371" t="inlineStr">
        <is>
          <t>SKÅNE LÄN</t>
        </is>
      </c>
      <c r="E371" t="inlineStr">
        <is>
          <t>ÖRKELLJUNGA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27540-2024</t>
        </is>
      </c>
      <c r="B372" s="1" t="n">
        <v>45474</v>
      </c>
      <c r="C372" s="1" t="n">
        <v>45648</v>
      </c>
      <c r="D372" t="inlineStr">
        <is>
          <t>SKÅNE LÄN</t>
        </is>
      </c>
      <c r="E372" t="inlineStr">
        <is>
          <t>ÖRKELLJUNGA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27491-2024</t>
        </is>
      </c>
      <c r="B373" s="1" t="n">
        <v>45474</v>
      </c>
      <c r="C373" s="1" t="n">
        <v>45648</v>
      </c>
      <c r="D373" t="inlineStr">
        <is>
          <t>SKÅNE LÄN</t>
        </is>
      </c>
      <c r="E373" t="inlineStr">
        <is>
          <t>ÖRKELLJUNGA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27486-2024</t>
        </is>
      </c>
      <c r="B374" s="1" t="n">
        <v>45474</v>
      </c>
      <c r="C374" s="1" t="n">
        <v>45648</v>
      </c>
      <c r="D374" t="inlineStr">
        <is>
          <t>SKÅNE LÄN</t>
        </is>
      </c>
      <c r="E374" t="inlineStr">
        <is>
          <t>ÖRKELLJUNGA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27497-2024</t>
        </is>
      </c>
      <c r="B375" s="1" t="n">
        <v>45474</v>
      </c>
      <c r="C375" s="1" t="n">
        <v>45648</v>
      </c>
      <c r="D375" t="inlineStr">
        <is>
          <t>SKÅNE LÄN</t>
        </is>
      </c>
      <c r="E375" t="inlineStr">
        <is>
          <t>ÖRKELLJUNGA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27967-2024</t>
        </is>
      </c>
      <c r="B376" s="1" t="n">
        <v>45476</v>
      </c>
      <c r="C376" s="1" t="n">
        <v>45648</v>
      </c>
      <c r="D376" t="inlineStr">
        <is>
          <t>SKÅNE LÄN</t>
        </is>
      </c>
      <c r="E376" t="inlineStr">
        <is>
          <t>ÖRKELLJUNGA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29439-2024</t>
        </is>
      </c>
      <c r="B377" s="1" t="n">
        <v>45483</v>
      </c>
      <c r="C377" s="1" t="n">
        <v>45648</v>
      </c>
      <c r="D377" t="inlineStr">
        <is>
          <t>SKÅNE LÄN</t>
        </is>
      </c>
      <c r="E377" t="inlineStr">
        <is>
          <t>ÖRKELLJUNGA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31631-2024</t>
        </is>
      </c>
      <c r="B378" s="1" t="n">
        <v>45506</v>
      </c>
      <c r="C378" s="1" t="n">
        <v>45648</v>
      </c>
      <c r="D378" t="inlineStr">
        <is>
          <t>SKÅNE LÄN</t>
        </is>
      </c>
      <c r="E378" t="inlineStr">
        <is>
          <t>ÖRKELLJUNGA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31633-2024</t>
        </is>
      </c>
      <c r="B379" s="1" t="n">
        <v>45506</v>
      </c>
      <c r="C379" s="1" t="n">
        <v>45648</v>
      </c>
      <c r="D379" t="inlineStr">
        <is>
          <t>SKÅNE LÄN</t>
        </is>
      </c>
      <c r="E379" t="inlineStr">
        <is>
          <t>ÖRKELLJUNGA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31927-2024</t>
        </is>
      </c>
      <c r="B380" s="1" t="n">
        <v>45510</v>
      </c>
      <c r="C380" s="1" t="n">
        <v>45648</v>
      </c>
      <c r="D380" t="inlineStr">
        <is>
          <t>SKÅNE LÄN</t>
        </is>
      </c>
      <c r="E380" t="inlineStr">
        <is>
          <t>ÖRKELLJUNGA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31925-2024</t>
        </is>
      </c>
      <c r="B381" s="1" t="n">
        <v>45510</v>
      </c>
      <c r="C381" s="1" t="n">
        <v>45648</v>
      </c>
      <c r="D381" t="inlineStr">
        <is>
          <t>SKÅNE LÄN</t>
        </is>
      </c>
      <c r="E381" t="inlineStr">
        <is>
          <t>ÖRKELLJUNGA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36774-2024</t>
        </is>
      </c>
      <c r="B382" s="1" t="n">
        <v>45538</v>
      </c>
      <c r="C382" s="1" t="n">
        <v>45648</v>
      </c>
      <c r="D382" t="inlineStr">
        <is>
          <t>SKÅNE LÄN</t>
        </is>
      </c>
      <c r="E382" t="inlineStr">
        <is>
          <t>ÖRKELLJUNGA</t>
        </is>
      </c>
      <c r="G382" t="n">
        <v>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36838-2024</t>
        </is>
      </c>
      <c r="B383" s="1" t="n">
        <v>45538</v>
      </c>
      <c r="C383" s="1" t="n">
        <v>45648</v>
      </c>
      <c r="D383" t="inlineStr">
        <is>
          <t>SKÅNE LÄN</t>
        </is>
      </c>
      <c r="E383" t="inlineStr">
        <is>
          <t>ÖRKELLJUNGA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37501-2024</t>
        </is>
      </c>
      <c r="B384" s="1" t="n">
        <v>45541</v>
      </c>
      <c r="C384" s="1" t="n">
        <v>45648</v>
      </c>
      <c r="D384" t="inlineStr">
        <is>
          <t>SKÅNE LÄN</t>
        </is>
      </c>
      <c r="E384" t="inlineStr">
        <is>
          <t>ÖRKELLJUNGA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37520-2024</t>
        </is>
      </c>
      <c r="B385" s="1" t="n">
        <v>45541</v>
      </c>
      <c r="C385" s="1" t="n">
        <v>45648</v>
      </c>
      <c r="D385" t="inlineStr">
        <is>
          <t>SKÅNE LÄN</t>
        </is>
      </c>
      <c r="E385" t="inlineStr">
        <is>
          <t>ÖRKELLJUNGA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38101-2024</t>
        </is>
      </c>
      <c r="B386" s="1" t="n">
        <v>45545</v>
      </c>
      <c r="C386" s="1" t="n">
        <v>45648</v>
      </c>
      <c r="D386" t="inlineStr">
        <is>
          <t>SKÅNE LÄN</t>
        </is>
      </c>
      <c r="E386" t="inlineStr">
        <is>
          <t>ÖRKELLJUNGA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38347-2024</t>
        </is>
      </c>
      <c r="B387" s="1" t="n">
        <v>45545</v>
      </c>
      <c r="C387" s="1" t="n">
        <v>45648</v>
      </c>
      <c r="D387" t="inlineStr">
        <is>
          <t>SKÅNE LÄN</t>
        </is>
      </c>
      <c r="E387" t="inlineStr">
        <is>
          <t>ÖRKELLJUNGA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38928-2024</t>
        </is>
      </c>
      <c r="B388" s="1" t="n">
        <v>45548</v>
      </c>
      <c r="C388" s="1" t="n">
        <v>45648</v>
      </c>
      <c r="D388" t="inlineStr">
        <is>
          <t>SKÅNE LÄN</t>
        </is>
      </c>
      <c r="E388" t="inlineStr">
        <is>
          <t>ÖRKELLJUNGA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39276-2024</t>
        </is>
      </c>
      <c r="B389" s="1" t="n">
        <v>45551</v>
      </c>
      <c r="C389" s="1" t="n">
        <v>45648</v>
      </c>
      <c r="D389" t="inlineStr">
        <is>
          <t>SKÅNE LÄN</t>
        </is>
      </c>
      <c r="E389" t="inlineStr">
        <is>
          <t>ÖRKELLJUNGA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42653-2024</t>
        </is>
      </c>
      <c r="B390" s="1" t="n">
        <v>45566</v>
      </c>
      <c r="C390" s="1" t="n">
        <v>45648</v>
      </c>
      <c r="D390" t="inlineStr">
        <is>
          <t>SKÅNE LÄN</t>
        </is>
      </c>
      <c r="E390" t="inlineStr">
        <is>
          <t>ÖRKELLJUNGA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46723-2024</t>
        </is>
      </c>
      <c r="B391" s="1" t="n">
        <v>45583</v>
      </c>
      <c r="C391" s="1" t="n">
        <v>45648</v>
      </c>
      <c r="D391" t="inlineStr">
        <is>
          <t>SKÅNE LÄN</t>
        </is>
      </c>
      <c r="E391" t="inlineStr">
        <is>
          <t>ÖRKELLJUNGA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49362-2024</t>
        </is>
      </c>
      <c r="B392" s="1" t="n">
        <v>45595</v>
      </c>
      <c r="C392" s="1" t="n">
        <v>45648</v>
      </c>
      <c r="D392" t="inlineStr">
        <is>
          <t>SKÅNE LÄN</t>
        </is>
      </c>
      <c r="E392" t="inlineStr">
        <is>
          <t>ÖRKELLJUNGA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52876-2024</t>
        </is>
      </c>
      <c r="B393" s="1" t="n">
        <v>45610</v>
      </c>
      <c r="C393" s="1" t="n">
        <v>45648</v>
      </c>
      <c r="D393" t="inlineStr">
        <is>
          <t>SKÅNE LÄN</t>
        </is>
      </c>
      <c r="E393" t="inlineStr">
        <is>
          <t>ÖRKELLJUNGA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53610-2024</t>
        </is>
      </c>
      <c r="B394" s="1" t="n">
        <v>45614</v>
      </c>
      <c r="C394" s="1" t="n">
        <v>45648</v>
      </c>
      <c r="D394" t="inlineStr">
        <is>
          <t>SKÅNE LÄN</t>
        </is>
      </c>
      <c r="E394" t="inlineStr">
        <is>
          <t>ÖRKELLJUNGA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55035-2024</t>
        </is>
      </c>
      <c r="B395" s="1" t="n">
        <v>45621</v>
      </c>
      <c r="C395" s="1" t="n">
        <v>45648</v>
      </c>
      <c r="D395" t="inlineStr">
        <is>
          <t>SKÅNE LÄN</t>
        </is>
      </c>
      <c r="E395" t="inlineStr">
        <is>
          <t>ÖRKELLJUNGA</t>
        </is>
      </c>
      <c r="G395" t="n">
        <v>9.800000000000001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58200-2024</t>
        </is>
      </c>
      <c r="B396" s="1" t="n">
        <v>45632</v>
      </c>
      <c r="C396" s="1" t="n">
        <v>45648</v>
      </c>
      <c r="D396" t="inlineStr">
        <is>
          <t>SKÅNE LÄN</t>
        </is>
      </c>
      <c r="E396" t="inlineStr">
        <is>
          <t>ÖRKELLJUNGA</t>
        </is>
      </c>
      <c r="G396" t="n">
        <v>14.5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59380-2024</t>
        </is>
      </c>
      <c r="B397" s="1" t="n">
        <v>45638</v>
      </c>
      <c r="C397" s="1" t="n">
        <v>45648</v>
      </c>
      <c r="D397" t="inlineStr">
        <is>
          <t>SKÅNE LÄN</t>
        </is>
      </c>
      <c r="E397" t="inlineStr">
        <is>
          <t>ÖRKELLJUNGA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60271-2024</t>
        </is>
      </c>
      <c r="B398" s="1" t="n">
        <v>45642</v>
      </c>
      <c r="C398" s="1" t="n">
        <v>45648</v>
      </c>
      <c r="D398" t="inlineStr">
        <is>
          <t>SKÅNE LÄN</t>
        </is>
      </c>
      <c r="E398" t="inlineStr">
        <is>
          <t>ÖRKELLJUNGA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61503-2024</t>
        </is>
      </c>
      <c r="B399" s="1" t="n">
        <v>45646</v>
      </c>
      <c r="C399" s="1" t="n">
        <v>45648</v>
      </c>
      <c r="D399" t="inlineStr">
        <is>
          <t>SKÅNE LÄN</t>
        </is>
      </c>
      <c r="E399" t="inlineStr">
        <is>
          <t>ÖRKELLJUNGA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>
      <c r="A400" t="inlineStr">
        <is>
          <t>A 61602-2024</t>
        </is>
      </c>
      <c r="B400" s="1" t="n">
        <v>45646</v>
      </c>
      <c r="C400" s="1" t="n">
        <v>45648</v>
      </c>
      <c r="D400" t="inlineStr">
        <is>
          <t>SKÅNE LÄN</t>
        </is>
      </c>
      <c r="E400" t="inlineStr">
        <is>
          <t>ÖRKELLJUNGA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2024-12-22T15:57:29Z</dcterms:created>
  <dcterms:modified xmlns:dcterms="http://purl.org/dc/terms/" xmlns:xsi="http://www.w3.org/2001/XMLSchema-instance" xsi:type="dcterms:W3CDTF">2024-12-22T15:57:29Z</dcterms:modified>
</cp:coreProperties>
</file>