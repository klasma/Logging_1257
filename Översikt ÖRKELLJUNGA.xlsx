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2212-2023</t>
        </is>
      </c>
      <c r="B2" t="inlineStr">
        <is>
          <t>samrådsanmälan</t>
        </is>
      </c>
      <c r="C2" t="inlineStr">
        <is>
          <t>Askåterföring</t>
        </is>
      </c>
      <c r="D2" s="1" t="n">
        <v>45099</v>
      </c>
      <c r="E2" s="1" t="n">
        <v>46322</v>
      </c>
      <c r="F2" t="inlineStr">
        <is>
          <t>SKÅNE LÄN</t>
        </is>
      </c>
      <c r="G2" t="inlineStr">
        <is>
          <t>ÖRKELLJUNGA</t>
        </is>
      </c>
      <c r="I2" t="n">
        <v>74.40000000000001</v>
      </c>
      <c r="J2" t="n">
        <v>9</v>
      </c>
      <c r="K2" t="n">
        <v>0</v>
      </c>
      <c r="L2" t="n">
        <v>6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13</v>
      </c>
      <c r="T2" t="n">
        <v>18</v>
      </c>
      <c r="U2" t="n">
        <v>18</v>
      </c>
      <c r="V2" s="2" t="inlineStr">
        <is>
          <t>Entita
Grönsångare
Mörk dunört
Svart skogssnigel
Svinrot
Älg
Spillkråka
Kungsfågel
Röd glada
Svartvit flugsnappare
Kopparödla
Vanlig padda
Vanlig snok</t>
        </is>
      </c>
      <c r="W2">
        <f>HYPERLINK("https://klasma.github.io/Logging_1257/artfynd/S 2212-2023 artfynd.xlsx", "S 2212-2023")</f>
        <v/>
      </c>
      <c r="X2">
        <f>HYPERLINK("https://klasma.github.io/Logging_1257/kartor/S 2212-2023 karta.png", "S 2212-2023")</f>
        <v/>
      </c>
      <c r="Y2">
        <f>HYPERLINK("https://klasma.github.io/Logging_1257/kartor_geotiff/S 2212-2023 georefererad karta.tif", "S 2212-2023")</f>
        <v/>
      </c>
      <c r="AA2">
        <f>HYPERLINK("https://klasma.github.io/Logging_1257/klagomål/S 2212-2023 FSC-klagomål.docx", "S 2212-2023")</f>
        <v/>
      </c>
      <c r="AB2">
        <f>HYPERLINK("https://klasma.github.io/Logging_1257/klagomålsmail/S 2212-2023 FSC-klagomål mail.docx", "S 2212-2023")</f>
        <v/>
      </c>
      <c r="AC2">
        <f>HYPERLINK("https://klasma.github.io/Logging_1257/tillsyn/S 2212-2023 tillsynsbegäran.docx", "S 2212-2023")</f>
        <v/>
      </c>
      <c r="AD2">
        <f>HYPERLINK("https://klasma.github.io/Logging_1257/tillsynsmail/S 2212-2023 tillsynsbegäran mail.docx", "S 2212-2023")</f>
        <v/>
      </c>
      <c r="AE2">
        <f>HYPERLINK("https://klasma.github.io/Logging_1257/fåglar/S 2212-2023 prioriterade fågelarter.docx", "S 2212-2023")</f>
        <v/>
      </c>
    </row>
    <row r="3" ht="15" customHeight="1">
      <c r="A3" t="inlineStr">
        <is>
          <t>S 2856-2024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45496</v>
      </c>
      <c r="E3" s="1" t="n">
        <v>46322</v>
      </c>
      <c r="F3" t="inlineStr">
        <is>
          <t>SKÅNE LÄN</t>
        </is>
      </c>
      <c r="G3" t="inlineStr">
        <is>
          <t>ÖRKELLJUNGA</t>
        </is>
      </c>
      <c r="I3" t="n">
        <v>0.9</v>
      </c>
      <c r="J3" t="n">
        <v>0</v>
      </c>
      <c r="K3" t="n">
        <v>8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n">
        <v>0</v>
      </c>
      <c r="S3" t="n">
        <v>12</v>
      </c>
      <c r="T3" t="n">
        <v>15</v>
      </c>
      <c r="U3" t="n">
        <v>0</v>
      </c>
      <c r="V3" s="2" t="inlineStr">
        <is>
          <t>Bokvårtlav
Dunmossa
Flikbålmossa
Gullpudra
Blåmossa
Blåsfliksmossa
Platt fjädermossa
Skogshakmossa
Skuggsprötmossa
Trubbfjädermossa
Västlig hakmossa
Västlig husmossa</t>
        </is>
      </c>
      <c r="W3">
        <f>HYPERLINK("https://klasma.github.io/Logging_1257/artfynd/S 2856-2024 artfynd.xlsx", "S 2856-2024")</f>
        <v/>
      </c>
      <c r="X3">
        <f>HYPERLINK("https://klasma.github.io/Logging_1257/kartor/S 2856-2024 karta.png", "S 2856-2024")</f>
        <v/>
      </c>
      <c r="Y3">
        <f>HYPERLINK("https://klasma.github.io/Logging_1257/kartor_geotiff/S 2856-2024 georefererad karta.tif", "S 2856-2024")</f>
        <v/>
      </c>
      <c r="AA3">
        <f>HYPERLINK("https://klasma.github.io/Logging_1257/klagomål/S 2856-2024 FSC-klagomål.docx", "S 2856-2024")</f>
        <v/>
      </c>
      <c r="AB3">
        <f>HYPERLINK("https://klasma.github.io/Logging_1257/klagomålsmail/S 2856-2024 FSC-klagomål mail.docx", "S 2856-2024")</f>
        <v/>
      </c>
      <c r="AC3">
        <f>HYPERLINK("https://klasma.github.io/Logging_1257/tillsyn/S 2856-2024 tillsynsbegäran.docx", "S 2856-2024")</f>
        <v/>
      </c>
      <c r="AD3">
        <f>HYPERLINK("https://klasma.github.io/Logging_1257/tillsynsmail/S 2856-2024 tillsynsbegäran mail.docx", "S 2856-2024")</f>
        <v/>
      </c>
    </row>
    <row r="4" ht="15" customHeight="1">
      <c r="A4" t="inlineStr">
        <is>
          <t>A 47608-2022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44852</v>
      </c>
      <c r="E4" s="1" t="n">
        <v>46322</v>
      </c>
      <c r="F4" t="inlineStr">
        <is>
          <t>SKÅNE LÄN</t>
        </is>
      </c>
      <c r="G4" t="inlineStr">
        <is>
          <t>ÖRKELLJUNGA</t>
        </is>
      </c>
      <c r="H4" t="inlineStr">
        <is>
          <t>Kyrkan</t>
        </is>
      </c>
      <c r="I4" t="n">
        <v>18.8</v>
      </c>
      <c r="J4" t="n">
        <v>0</v>
      </c>
      <c r="K4" t="n">
        <v>5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7</v>
      </c>
      <c r="T4" t="n">
        <v>7</v>
      </c>
      <c r="U4" t="n">
        <v>0</v>
      </c>
      <c r="V4" s="2" t="inlineStr">
        <is>
          <t>Bokkantlav
Bokvårtlav
Fjällsopp
Havstulpanlav
Mandelriska
Platt fjädermossa
Stor knopplav</t>
        </is>
      </c>
      <c r="W4">
        <f>HYPERLINK("https://klasma.github.io/Logging_1257/artfynd/A 47608-2022 artfynd.xlsx", "A 47608-2022")</f>
        <v/>
      </c>
      <c r="X4">
        <f>HYPERLINK("https://klasma.github.io/Logging_1257/kartor/A 47608-2022 karta.png", "A 47608-2022")</f>
        <v/>
      </c>
      <c r="Y4">
        <f>HYPERLINK("https://klasma.github.io/Logging_1257/kartor_geotiff/A 47608-2022 georefererad karta.tif", "A 47608-2022")</f>
        <v/>
      </c>
      <c r="AA4">
        <f>HYPERLINK("https://klasma.github.io/Logging_1257/klagomål/A 47608-2022 FSC-klagomål.docx", "A 47608-2022")</f>
        <v/>
      </c>
      <c r="AB4">
        <f>HYPERLINK("https://klasma.github.io/Logging_1257/klagomålsmail/A 47608-2022 FSC-klagomål mail.docx", "A 47608-2022")</f>
        <v/>
      </c>
      <c r="AC4">
        <f>HYPERLINK("https://klasma.github.io/Logging_1257/tillsyn/A 47608-2022 tillsynsbegäran.docx", "A 47608-2022")</f>
        <v/>
      </c>
      <c r="AD4">
        <f>HYPERLINK("https://klasma.github.io/Logging_1257/tillsynsmail/A 47608-2022 tillsynsbegäran mail.docx", "A 47608-2022")</f>
        <v/>
      </c>
    </row>
    <row r="5" ht="15" customHeight="1">
      <c r="A5" t="inlineStr">
        <is>
          <t>A 44382-2025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45916</v>
      </c>
      <c r="E5" s="1" t="n">
        <v>46322</v>
      </c>
      <c r="F5" t="inlineStr">
        <is>
          <t>SKÅNE LÄN</t>
        </is>
      </c>
      <c r="G5" t="inlineStr">
        <is>
          <t>ÖRKELLJUNGA</t>
        </is>
      </c>
      <c r="I5" t="n">
        <v>4.4</v>
      </c>
      <c r="J5" t="n">
        <v>6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6</v>
      </c>
      <c r="T5" t="n">
        <v>6</v>
      </c>
      <c r="U5" t="n">
        <v>6</v>
      </c>
      <c r="V5" s="2" t="inlineStr">
        <is>
          <t>Gulsparv
Talltita
Nattskärra
Spillkråka
Kungsfågel
Orre</t>
        </is>
      </c>
      <c r="W5">
        <f>HYPERLINK("https://klasma.github.io/Logging_1257/artfynd/A 44382-2025 artfynd.xlsx", "A 44382-2025")</f>
        <v/>
      </c>
      <c r="X5">
        <f>HYPERLINK("https://klasma.github.io/Logging_1257/kartor/A 44382-2025 karta.png", "A 44382-2025")</f>
        <v/>
      </c>
      <c r="Y5">
        <f>HYPERLINK("https://klasma.github.io/Logging_1257/kartor_geotiff/A 44382-2025 georefererad karta.tif", "A 44382-2025")</f>
        <v/>
      </c>
      <c r="AA5">
        <f>HYPERLINK("https://klasma.github.io/Logging_1257/klagomål/A 44382-2025 FSC-klagomål.docx", "A 44382-2025")</f>
        <v/>
      </c>
      <c r="AB5">
        <f>HYPERLINK("https://klasma.github.io/Logging_1257/klagomålsmail/A 44382-2025 FSC-klagomål mail.docx", "A 44382-2025")</f>
        <v/>
      </c>
      <c r="AC5">
        <f>HYPERLINK("https://klasma.github.io/Logging_1257/tillsyn/A 44382-2025 tillsynsbegäran.docx", "A 44382-2025")</f>
        <v/>
      </c>
      <c r="AD5">
        <f>HYPERLINK("https://klasma.github.io/Logging_1257/tillsynsmail/A 44382-2025 tillsynsbegäran mail.docx", "A 44382-2025")</f>
        <v/>
      </c>
      <c r="AE5">
        <f>HYPERLINK("https://klasma.github.io/Logging_1257/fåglar/A 44382-2025 prioriterade fågelarter.docx", "A 44382-2025")</f>
        <v/>
      </c>
    </row>
    <row r="6" ht="15" customHeight="1">
      <c r="A6" t="inlineStr">
        <is>
          <t>S 215-2023</t>
        </is>
      </c>
      <c r="B6" t="inlineStr">
        <is>
          <t>samrådsanmälan</t>
        </is>
      </c>
      <c r="C6" t="inlineStr">
        <is>
          <t>Askåterföring</t>
        </is>
      </c>
      <c r="D6" s="1" t="n">
        <v>44946</v>
      </c>
      <c r="E6" s="1" t="n">
        <v>46322</v>
      </c>
      <c r="F6" t="inlineStr">
        <is>
          <t>SKÅNE LÄN</t>
        </is>
      </c>
      <c r="G6" t="inlineStr">
        <is>
          <t>ÖRKELLJUNGA</t>
        </is>
      </c>
      <c r="I6" t="n">
        <v>53.8</v>
      </c>
      <c r="J6" t="n">
        <v>0</v>
      </c>
      <c r="K6" t="n">
        <v>4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6</v>
      </c>
      <c r="T6" t="n">
        <v>7</v>
      </c>
      <c r="U6" t="n">
        <v>0</v>
      </c>
      <c r="V6" s="2" t="inlineStr">
        <is>
          <t>Bokvårtlav
Lamellsnäcka
Havstulpanlav
Liten stinksvamp
Mandelriska
Platt fjädermossa</t>
        </is>
      </c>
      <c r="W6">
        <f>HYPERLINK("https://klasma.github.io/Logging_1257/artfynd/S 215-2023 artfynd.xlsx", "S 215-2023")</f>
        <v/>
      </c>
      <c r="X6">
        <f>HYPERLINK("https://klasma.github.io/Logging_1257/kartor/S 215-2023 karta.png", "S 215-2023")</f>
        <v/>
      </c>
      <c r="Y6">
        <f>HYPERLINK("https://klasma.github.io/Logging_1257/kartor_geotiff/S 215-2023 georefererad karta.tif", "S 215-2023")</f>
        <v/>
      </c>
      <c r="AA6">
        <f>HYPERLINK("https://klasma.github.io/Logging_1257/klagomål/S 215-2023 FSC-klagomål.docx", "S 215-2023")</f>
        <v/>
      </c>
      <c r="AB6">
        <f>HYPERLINK("https://klasma.github.io/Logging_1257/klagomålsmail/S 215-2023 FSC-klagomål mail.docx", "S 215-2023")</f>
        <v/>
      </c>
      <c r="AC6">
        <f>HYPERLINK("https://klasma.github.io/Logging_1257/tillsyn/S 215-2023 tillsynsbegäran.docx", "S 215-2023")</f>
        <v/>
      </c>
      <c r="AD6">
        <f>HYPERLINK("https://klasma.github.io/Logging_1257/tillsynsmail/S 215-2023 tillsynsbegäran mail.docx", "S 215-2023")</f>
        <v/>
      </c>
    </row>
    <row r="7" ht="15" customHeight="1">
      <c r="A7" t="inlineStr">
        <is>
          <t>S 1651-2022</t>
        </is>
      </c>
      <c r="B7" t="inlineStr">
        <is>
          <t>samrådsanmälan</t>
        </is>
      </c>
      <c r="C7" t="inlineStr">
        <is>
          <t>Annan skogsbruksåtgärd</t>
        </is>
      </c>
      <c r="D7" s="1" t="n">
        <v>44649</v>
      </c>
      <c r="E7" s="1" t="n">
        <v>46322</v>
      </c>
      <c r="F7" t="inlineStr">
        <is>
          <t>SKÅNE LÄN</t>
        </is>
      </c>
      <c r="G7" t="inlineStr">
        <is>
          <t>ÖRKELLJUNGA</t>
        </is>
      </c>
      <c r="I7" t="n">
        <v>7.7</v>
      </c>
      <c r="J7" t="n">
        <v>0</v>
      </c>
      <c r="K7" t="n">
        <v>4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5</v>
      </c>
      <c r="T7" t="n">
        <v>5</v>
      </c>
      <c r="U7" t="n">
        <v>0</v>
      </c>
      <c r="V7" s="2" t="inlineStr">
        <is>
          <t>Pulverädellav
Blåmossa
Gulnål
Stubbspretmossa
Västlig hakmossa</t>
        </is>
      </c>
      <c r="W7">
        <f>HYPERLINK("https://klasma.github.io/Logging_1257/artfynd/S 1651-2022 artfynd.xlsx", "S 1651-2022")</f>
        <v/>
      </c>
      <c r="X7">
        <f>HYPERLINK("https://klasma.github.io/Logging_1257/kartor/S 1651-2022 karta.png", "S 1651-2022")</f>
        <v/>
      </c>
      <c r="Y7">
        <f>HYPERLINK("https://klasma.github.io/Logging_1257/kartor_geotiff/S 1651-2022 georefererad karta.tif", "S 1651-2022")</f>
        <v/>
      </c>
      <c r="AA7">
        <f>HYPERLINK("https://klasma.github.io/Logging_1257/klagomål/S 1651-2022 FSC-klagomål.docx", "S 1651-2022")</f>
        <v/>
      </c>
      <c r="AB7">
        <f>HYPERLINK("https://klasma.github.io/Logging_1257/klagomålsmail/S 1651-2022 FSC-klagomål mail.docx", "S 1651-2022")</f>
        <v/>
      </c>
      <c r="AC7">
        <f>HYPERLINK("https://klasma.github.io/Logging_1257/tillsyn/S 1651-2022 tillsynsbegäran.docx", "S 1651-2022")</f>
        <v/>
      </c>
      <c r="AD7">
        <f>HYPERLINK("https://klasma.github.io/Logging_1257/tillsynsmail/S 1651-2022 tillsynsbegäran mail.docx", "S 1651-2022")</f>
        <v/>
      </c>
    </row>
    <row r="8" ht="15" customHeight="1">
      <c r="A8" t="inlineStr">
        <is>
          <t>A 5927-2023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44963</v>
      </c>
      <c r="E8" s="1" t="n">
        <v>46322</v>
      </c>
      <c r="F8" t="inlineStr">
        <is>
          <t>SKÅNE LÄN</t>
        </is>
      </c>
      <c r="G8" t="inlineStr">
        <is>
          <t>ÖRKELLJUNGA</t>
        </is>
      </c>
      <c r="I8" t="n">
        <v>0.9</v>
      </c>
      <c r="J8" t="n">
        <v>2</v>
      </c>
      <c r="K8" t="n">
        <v>0</v>
      </c>
      <c r="L8" t="n">
        <v>2</v>
      </c>
      <c r="M8" t="n">
        <v>1</v>
      </c>
      <c r="N8" t="n">
        <v>1</v>
      </c>
      <c r="O8" t="n">
        <v>0</v>
      </c>
      <c r="P8" t="n">
        <v>0</v>
      </c>
      <c r="Q8" t="n">
        <v>4</v>
      </c>
      <c r="R8" t="n">
        <v>2</v>
      </c>
      <c r="S8" t="n">
        <v>4</v>
      </c>
      <c r="T8" t="n">
        <v>4</v>
      </c>
      <c r="U8" t="n">
        <v>0</v>
      </c>
      <c r="V8" s="2" t="inlineStr">
        <is>
          <t>Skogsalm
Hussvala
Ladusvala
Svart skogssnigel</t>
        </is>
      </c>
      <c r="W8">
        <f>HYPERLINK("https://klasma.github.io/Logging_1257/artfynd/A 5927-2023 artfynd.xlsx", "A 5927-2023")</f>
        <v/>
      </c>
      <c r="X8">
        <f>HYPERLINK("https://klasma.github.io/Logging_1257/kartor/A 5927-2023 karta.png", "A 5927-2023")</f>
        <v/>
      </c>
      <c r="Y8">
        <f>HYPERLINK("https://klasma.github.io/Logging_1257/kartor_geotiff/A 5927-2023 georefererad karta.tif", "A 5927-2023")</f>
        <v/>
      </c>
      <c r="AA8">
        <f>HYPERLINK("https://klasma.github.io/Logging_1257/klagomål/A 5927-2023 FSC-klagomål.docx", "A 5927-2023")</f>
        <v/>
      </c>
      <c r="AB8">
        <f>HYPERLINK("https://klasma.github.io/Logging_1257/klagomålsmail/A 5927-2023 FSC-klagomål mail.docx", "A 5927-2023")</f>
        <v/>
      </c>
      <c r="AC8">
        <f>HYPERLINK("https://klasma.github.io/Logging_1257/tillsyn/A 5927-2023 tillsynsbegäran.docx", "A 5927-2023")</f>
        <v/>
      </c>
      <c r="AD8">
        <f>HYPERLINK("https://klasma.github.io/Logging_1257/tillsynsmail/A 5927-2023 tillsynsbegäran mail.docx", "A 5927-2023")</f>
        <v/>
      </c>
    </row>
    <row r="9" ht="15" customHeight="1">
      <c r="A9" t="inlineStr">
        <is>
          <t>A 39622-2023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45163</v>
      </c>
      <c r="E9" s="1" t="n">
        <v>46322</v>
      </c>
      <c r="F9" t="inlineStr">
        <is>
          <t>SKÅNE LÄN</t>
        </is>
      </c>
      <c r="G9" t="inlineStr">
        <is>
          <t>ÖRKELLJUNGA</t>
        </is>
      </c>
      <c r="I9" t="n">
        <v>10.7</v>
      </c>
      <c r="J9" t="n">
        <v>3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</v>
      </c>
      <c r="T9" t="n">
        <v>5</v>
      </c>
      <c r="U9" t="n">
        <v>0</v>
      </c>
      <c r="V9" s="2" t="inlineStr">
        <is>
          <t>Dvärghäxört
Skogsödla
Vanlig groda
Vanlig padda</t>
        </is>
      </c>
      <c r="W9">
        <f>HYPERLINK("https://klasma.github.io/Logging_1257/artfynd/A 39622-2023 artfynd.xlsx", "A 39622-2023")</f>
        <v/>
      </c>
      <c r="X9">
        <f>HYPERLINK("https://klasma.github.io/Logging_1257/kartor/A 39622-2023 karta.png", "A 39622-2023")</f>
        <v/>
      </c>
      <c r="Y9">
        <f>HYPERLINK("https://klasma.github.io/Logging_1257/kartor_geotiff/A 39622-2023 georefererad karta.tif", "A 39622-2023")</f>
        <v/>
      </c>
      <c r="AA9">
        <f>HYPERLINK("https://klasma.github.io/Logging_1257/klagomål/A 39622-2023 FSC-klagomål.docx", "A 39622-2023")</f>
        <v/>
      </c>
      <c r="AB9">
        <f>HYPERLINK("https://klasma.github.io/Logging_1257/klagomålsmail/A 39622-2023 FSC-klagomål mail.docx", "A 39622-2023")</f>
        <v/>
      </c>
      <c r="AC9">
        <f>HYPERLINK("https://klasma.github.io/Logging_1257/tillsyn/A 39622-2023 tillsynsbegäran.docx", "A 39622-2023")</f>
        <v/>
      </c>
      <c r="AD9">
        <f>HYPERLINK("https://klasma.github.io/Logging_1257/tillsynsmail/A 39622-2023 tillsynsbegäran mail.docx", "A 39622-2023")</f>
        <v/>
      </c>
    </row>
    <row r="10" ht="15" customHeight="1">
      <c r="A10" t="inlineStr">
        <is>
          <t>A 4112-2025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45684</v>
      </c>
      <c r="E10" s="1" t="n">
        <v>46322</v>
      </c>
      <c r="F10" t="inlineStr">
        <is>
          <t>SKÅNE LÄN</t>
        </is>
      </c>
      <c r="G10" t="inlineStr">
        <is>
          <t>ÖRKELLJUNGA</t>
        </is>
      </c>
      <c r="I10" t="n">
        <v>11.4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4</v>
      </c>
      <c r="T10" t="n">
        <v>6</v>
      </c>
      <c r="U10" t="n">
        <v>4</v>
      </c>
      <c r="V10" s="2" t="inlineStr">
        <is>
          <t>Småvänderot
Gröngöling
Utter
Vanlig padda</t>
        </is>
      </c>
      <c r="W10">
        <f>HYPERLINK("https://klasma.github.io/Logging_1257/artfynd/A 4112-2025 artfynd.xlsx", "A 4112-2025")</f>
        <v/>
      </c>
      <c r="X10">
        <f>HYPERLINK("https://klasma.github.io/Logging_1257/kartor/A 4112-2025 karta.png", "A 4112-2025")</f>
        <v/>
      </c>
      <c r="Y10">
        <f>HYPERLINK("https://klasma.github.io/Logging_1257/kartor_geotiff/A 4112-2025 georefererad karta.tif", "A 4112-2025")</f>
        <v/>
      </c>
      <c r="AA10">
        <f>HYPERLINK("https://klasma.github.io/Logging_1257/klagomål/A 4112-2025 FSC-klagomål.docx", "A 4112-2025")</f>
        <v/>
      </c>
      <c r="AB10">
        <f>HYPERLINK("https://klasma.github.io/Logging_1257/klagomålsmail/A 4112-2025 FSC-klagomål mail.docx", "A 4112-2025")</f>
        <v/>
      </c>
      <c r="AC10">
        <f>HYPERLINK("https://klasma.github.io/Logging_1257/tillsyn/A 4112-2025 tillsynsbegäran.docx", "A 4112-2025")</f>
        <v/>
      </c>
      <c r="AD10">
        <f>HYPERLINK("https://klasma.github.io/Logging_1257/tillsynsmail/A 4112-2025 tillsynsbegäran mail.docx", "A 4112-2025")</f>
        <v/>
      </c>
    </row>
    <row r="11" ht="15" customHeight="1">
      <c r="A11" t="inlineStr">
        <is>
          <t>A 35245-2025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45853</v>
      </c>
      <c r="E11" s="1" t="n">
        <v>46322</v>
      </c>
      <c r="F11" t="inlineStr">
        <is>
          <t>SKÅNE LÄN</t>
        </is>
      </c>
      <c r="G11" t="inlineStr">
        <is>
          <t>ÖRKELLJUNGA</t>
        </is>
      </c>
      <c r="I11" t="n">
        <v>8.699999999999999</v>
      </c>
      <c r="J11" t="n">
        <v>3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3</v>
      </c>
      <c r="T11" t="n">
        <v>3</v>
      </c>
      <c r="U11" t="n">
        <v>3</v>
      </c>
      <c r="V11" s="2" t="inlineStr">
        <is>
          <t>Entita
Talltita
Kungsfågel</t>
        </is>
      </c>
      <c r="W11">
        <f>HYPERLINK("https://klasma.github.io/Logging_1257/artfynd/A 35245-2025 artfynd.xlsx", "A 35245-2025")</f>
        <v/>
      </c>
      <c r="X11">
        <f>HYPERLINK("https://klasma.github.io/Logging_1257/kartor/A 35245-2025 karta.png", "A 35245-2025")</f>
        <v/>
      </c>
      <c r="Y11">
        <f>HYPERLINK("https://klasma.github.io/Logging_1257/kartor_geotiff/A 35245-2025 georefererad karta.tif", "A 35245-2025")</f>
        <v/>
      </c>
      <c r="AA11">
        <f>HYPERLINK("https://klasma.github.io/Logging_1257/klagomål/A 35245-2025 FSC-klagomål.docx", "A 35245-2025")</f>
        <v/>
      </c>
      <c r="AB11">
        <f>HYPERLINK("https://klasma.github.io/Logging_1257/klagomålsmail/A 35245-2025 FSC-klagomål mail.docx", "A 35245-2025")</f>
        <v/>
      </c>
      <c r="AC11">
        <f>HYPERLINK("https://klasma.github.io/Logging_1257/tillsyn/A 35245-2025 tillsynsbegäran.docx", "A 35245-2025")</f>
        <v/>
      </c>
      <c r="AD11">
        <f>HYPERLINK("https://klasma.github.io/Logging_1257/tillsynsmail/A 35245-2025 tillsynsbegäran mail.docx", "A 35245-2025")</f>
        <v/>
      </c>
      <c r="AE11">
        <f>HYPERLINK("https://klasma.github.io/Logging_1257/fåglar/A 35245-2025 prioriterade fågelarter.docx", "A 35245-2025")</f>
        <v/>
      </c>
    </row>
    <row r="12" ht="15" customHeight="1">
      <c r="A12" t="inlineStr">
        <is>
          <t>A 31926-2024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45510</v>
      </c>
      <c r="E12" s="1" t="n">
        <v>46322</v>
      </c>
      <c r="F12" t="inlineStr">
        <is>
          <t>SKÅNE LÄN</t>
        </is>
      </c>
      <c r="G12" t="inlineStr">
        <is>
          <t>ÖRKELLJUNGA</t>
        </is>
      </c>
      <c r="I12" t="n">
        <v>1.9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9</v>
      </c>
      <c r="U12" t="n">
        <v>0</v>
      </c>
      <c r="V12" s="2" t="inlineStr">
        <is>
          <t>Havstulpanlav
Klippfrullania
Västlig hakmossa</t>
        </is>
      </c>
      <c r="W12">
        <f>HYPERLINK("https://klasma.github.io/Logging_1257/artfynd/A 31926-2024 artfynd.xlsx", "A 31926-2024")</f>
        <v/>
      </c>
      <c r="X12">
        <f>HYPERLINK("https://klasma.github.io/Logging_1257/kartor/A 31926-2024 karta.png", "A 31926-2024")</f>
        <v/>
      </c>
      <c r="Y12">
        <f>HYPERLINK("https://klasma.github.io/Logging_1257/kartor_geotiff/A 31926-2024 georefererad karta.tif", "A 31926-2024")</f>
        <v/>
      </c>
      <c r="AA12">
        <f>HYPERLINK("https://klasma.github.io/Logging_1257/klagomål/A 31926-2024 FSC-klagomål.docx", "A 31926-2024")</f>
        <v/>
      </c>
      <c r="AB12">
        <f>HYPERLINK("https://klasma.github.io/Logging_1257/klagomålsmail/A 31926-2024 FSC-klagomål mail.docx", "A 31926-2024")</f>
        <v/>
      </c>
      <c r="AC12">
        <f>HYPERLINK("https://klasma.github.io/Logging_1257/tillsyn/A 31926-2024 tillsynsbegäran.docx", "A 31926-2024")</f>
        <v/>
      </c>
      <c r="AD12">
        <f>HYPERLINK("https://klasma.github.io/Logging_1257/tillsynsmail/A 31926-2024 tillsynsbegäran mail.docx", "A 31926-2024")</f>
        <v/>
      </c>
    </row>
    <row r="13" ht="15" customHeight="1">
      <c r="A13" t="inlineStr">
        <is>
          <t>A 25960-2023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45090</v>
      </c>
      <c r="E13" s="1" t="n">
        <v>46322</v>
      </c>
      <c r="F13" t="inlineStr">
        <is>
          <t>SKÅNE LÄN</t>
        </is>
      </c>
      <c r="G13" t="inlineStr">
        <is>
          <t>ÖRKELLJUNGA</t>
        </is>
      </c>
      <c r="I13" t="n">
        <v>1.9</v>
      </c>
      <c r="J13" t="n">
        <v>0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3</v>
      </c>
      <c r="U13" t="n">
        <v>0</v>
      </c>
      <c r="V13" s="2" t="inlineStr">
        <is>
          <t>Bokkantlav
Guldlockmossa
Platt fjädermossa</t>
        </is>
      </c>
      <c r="W13">
        <f>HYPERLINK("https://klasma.github.io/Logging_1257/artfynd/A 25960-2023 artfynd.xlsx", "A 25960-2023")</f>
        <v/>
      </c>
      <c r="X13">
        <f>HYPERLINK("https://klasma.github.io/Logging_1257/kartor/A 25960-2023 karta.png", "A 25960-2023")</f>
        <v/>
      </c>
      <c r="Y13">
        <f>HYPERLINK("https://klasma.github.io/Logging_1257/kartor_geotiff/A 25960-2023 georefererad karta.tif", "A 25960-2023")</f>
        <v/>
      </c>
      <c r="AA13">
        <f>HYPERLINK("https://klasma.github.io/Logging_1257/klagomål/A 25960-2023 FSC-klagomål.docx", "A 25960-2023")</f>
        <v/>
      </c>
      <c r="AB13">
        <f>HYPERLINK("https://klasma.github.io/Logging_1257/klagomålsmail/A 25960-2023 FSC-klagomål mail.docx", "A 25960-2023")</f>
        <v/>
      </c>
      <c r="AC13">
        <f>HYPERLINK("https://klasma.github.io/Logging_1257/tillsyn/A 25960-2023 tillsynsbegäran.docx", "A 25960-2023")</f>
        <v/>
      </c>
      <c r="AD13">
        <f>HYPERLINK("https://klasma.github.io/Logging_1257/tillsynsmail/A 25960-2023 tillsynsbegäran mail.docx", "A 25960-2023")</f>
        <v/>
      </c>
    </row>
    <row r="14" ht="15" customHeight="1">
      <c r="A14" t="inlineStr">
        <is>
          <t>S 291-2026</t>
        </is>
      </c>
      <c r="B14" t="inlineStr">
        <is>
          <t>samrådsanmälan</t>
        </is>
      </c>
      <c r="C14" t="inlineStr">
        <is>
          <t>Askåterföring</t>
        </is>
      </c>
      <c r="D14" s="1" t="n">
        <v>46057</v>
      </c>
      <c r="E14" s="1" t="n">
        <v>46322</v>
      </c>
      <c r="F14" t="inlineStr">
        <is>
          <t>SKÅNE LÄN</t>
        </is>
      </c>
      <c r="G14" t="inlineStr">
        <is>
          <t>ÖRKELLJUNGA</t>
        </is>
      </c>
      <c r="I14" t="n">
        <v>123.5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3</v>
      </c>
      <c r="U14" t="n">
        <v>0</v>
      </c>
      <c r="V14" s="2" t="inlineStr">
        <is>
          <t>Bokvårtlav
Fällmossa
Kungsfågel</t>
        </is>
      </c>
      <c r="W14">
        <f>HYPERLINK("https://klasma.github.io/Logging_1257/artfynd/S 291-2026 artfynd.xlsx", "S 291-2026")</f>
        <v/>
      </c>
      <c r="X14">
        <f>HYPERLINK("https://klasma.github.io/Logging_1257/kartor/S 291-2026 karta.png", "S 291-2026")</f>
        <v/>
      </c>
      <c r="Y14">
        <f>HYPERLINK("https://klasma.github.io/Logging_1257/kartor_geotiff/S 291-2026 georefererad karta.tif", "S 291-2026")</f>
        <v/>
      </c>
      <c r="AA14">
        <f>HYPERLINK("https://klasma.github.io/Logging_1257/klagomål/S 291-2026 FSC-klagomål.docx", "S 291-2026")</f>
        <v/>
      </c>
      <c r="AB14">
        <f>HYPERLINK("https://klasma.github.io/Logging_1257/klagomålsmail/S 291-2026 FSC-klagomål mail.docx", "S 291-2026")</f>
        <v/>
      </c>
      <c r="AC14">
        <f>HYPERLINK("https://klasma.github.io/Logging_1257/tillsyn/S 291-2026 tillsynsbegäran.docx", "S 291-2026")</f>
        <v/>
      </c>
      <c r="AD14">
        <f>HYPERLINK("https://klasma.github.io/Logging_1257/tillsynsmail/S 291-2026 tillsynsbegäran mail.docx", "S 291-2026")</f>
        <v/>
      </c>
    </row>
    <row r="15" ht="15" customHeight="1">
      <c r="A15" t="inlineStr">
        <is>
          <t>S 1335-2026</t>
        </is>
      </c>
      <c r="B15" t="inlineStr">
        <is>
          <t>samrådsanmälan</t>
        </is>
      </c>
      <c r="C15" t="inlineStr">
        <is>
          <t>Askåterföring</t>
        </is>
      </c>
      <c r="D15" s="1" t="n">
        <v>46150</v>
      </c>
      <c r="E15" s="1" t="n">
        <v>46322</v>
      </c>
      <c r="F15" t="inlineStr">
        <is>
          <t>SKÅNE LÄN</t>
        </is>
      </c>
      <c r="G15" t="inlineStr">
        <is>
          <t>ÖRKELLJUNGA</t>
        </is>
      </c>
      <c r="I15" t="n">
        <v>98.40000000000001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4</v>
      </c>
      <c r="U15" t="n">
        <v>0</v>
      </c>
      <c r="V15" s="2" t="inlineStr">
        <is>
          <t>Kambräken
Skuggmossa
Stubbspretmossa</t>
        </is>
      </c>
      <c r="W15">
        <f>HYPERLINK("https://klasma.github.io/Logging_1257/artfynd/S 1335-2026 artfynd.xlsx", "S 1335-2026")</f>
        <v/>
      </c>
      <c r="X15">
        <f>HYPERLINK("https://klasma.github.io/Logging_1257/kartor/S 1335-2026 karta.png", "S 1335-2026")</f>
        <v/>
      </c>
      <c r="Y15">
        <f>HYPERLINK("https://klasma.github.io/Logging_1257/kartor_geotiff/S 1335-2026 georefererad karta.tif", "S 1335-2026")</f>
        <v/>
      </c>
      <c r="AA15">
        <f>HYPERLINK("https://klasma.github.io/Logging_1257/klagomål/S 1335-2026 FSC-klagomål.docx", "S 1335-2026")</f>
        <v/>
      </c>
      <c r="AB15">
        <f>HYPERLINK("https://klasma.github.io/Logging_1257/klagomålsmail/S 1335-2026 FSC-klagomål mail.docx", "S 1335-2026")</f>
        <v/>
      </c>
      <c r="AC15">
        <f>HYPERLINK("https://klasma.github.io/Logging_1257/tillsyn/S 1335-2026 tillsynsbegäran.docx", "S 1335-2026")</f>
        <v/>
      </c>
      <c r="AD15">
        <f>HYPERLINK("https://klasma.github.io/Logging_1257/tillsynsmail/S 1335-2026 tillsynsbegäran mail.docx", "S 1335-2026")</f>
        <v/>
      </c>
    </row>
    <row r="16" ht="15" customHeight="1">
      <c r="A16" t="inlineStr">
        <is>
          <t>A 11970-2022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44635</v>
      </c>
      <c r="E16" s="1" t="n">
        <v>46322</v>
      </c>
      <c r="F16" t="inlineStr">
        <is>
          <t>SKÅNE LÄN</t>
        </is>
      </c>
      <c r="G16" t="inlineStr">
        <is>
          <t>ÖRKELLJUNGA</t>
        </is>
      </c>
      <c r="I16" t="n">
        <v>2.8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2</v>
      </c>
      <c r="U16" t="n">
        <v>0</v>
      </c>
      <c r="V16" s="2" t="inlineStr">
        <is>
          <t>Bokvårtlav
Sydlig sotticka</t>
        </is>
      </c>
      <c r="W16">
        <f>HYPERLINK("https://klasma.github.io/Logging_1257/artfynd/A 11970-2022 artfynd.xlsx", "A 11970-2022")</f>
        <v/>
      </c>
      <c r="X16">
        <f>HYPERLINK("https://klasma.github.io/Logging_1257/kartor/A 11970-2022 karta.png", "A 11970-2022")</f>
        <v/>
      </c>
      <c r="Y16">
        <f>HYPERLINK("https://klasma.github.io/Logging_1257/kartor_geotiff/A 11970-2022 georefererad karta.tif", "A 11970-2022")</f>
        <v/>
      </c>
      <c r="AA16">
        <f>HYPERLINK("https://klasma.github.io/Logging_1257/klagomål/A 11970-2022 FSC-klagomål.docx", "A 11970-2022")</f>
        <v/>
      </c>
      <c r="AB16">
        <f>HYPERLINK("https://klasma.github.io/Logging_1257/klagomålsmail/A 11970-2022 FSC-klagomål mail.docx", "A 11970-2022")</f>
        <v/>
      </c>
      <c r="AC16">
        <f>HYPERLINK("https://klasma.github.io/Logging_1257/tillsyn/A 11970-2022 tillsynsbegäran.docx", "A 11970-2022")</f>
        <v/>
      </c>
      <c r="AD16">
        <f>HYPERLINK("https://klasma.github.io/Logging_1257/tillsynsmail/A 11970-2022 tillsynsbegäran mail.docx", "A 11970-2022")</f>
        <v/>
      </c>
    </row>
    <row r="17" ht="15" customHeight="1">
      <c r="A17" t="inlineStr">
        <is>
          <t>A 60271-2024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45642</v>
      </c>
      <c r="E17" s="1" t="n">
        <v>46322</v>
      </c>
      <c r="F17" t="inlineStr">
        <is>
          <t>SKÅNE LÄN</t>
        </is>
      </c>
      <c r="G17" t="inlineStr">
        <is>
          <t>ÖRKELLJUNGA</t>
        </is>
      </c>
      <c r="I17" t="n">
        <v>1.8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0</v>
      </c>
      <c r="V17" s="2" t="inlineStr">
        <is>
          <t>Vanlig padda
Vanlig snok</t>
        </is>
      </c>
      <c r="W17">
        <f>HYPERLINK("https://klasma.github.io/Logging_1257/artfynd/A 60271-2024 artfynd.xlsx", "A 60271-2024")</f>
        <v/>
      </c>
      <c r="X17">
        <f>HYPERLINK("https://klasma.github.io/Logging_1257/kartor/A 60271-2024 karta.png", "A 60271-2024")</f>
        <v/>
      </c>
      <c r="Y17">
        <f>HYPERLINK("https://klasma.github.io/Logging_1257/kartor_geotiff/A 60271-2024 georefererad karta.tif", "A 60271-2024")</f>
        <v/>
      </c>
      <c r="AA17">
        <f>HYPERLINK("https://klasma.github.io/Logging_1257/klagomål/A 60271-2024 FSC-klagomål.docx", "A 60271-2024")</f>
        <v/>
      </c>
      <c r="AB17">
        <f>HYPERLINK("https://klasma.github.io/Logging_1257/klagomålsmail/A 60271-2024 FSC-klagomål mail.docx", "A 60271-2024")</f>
        <v/>
      </c>
      <c r="AC17">
        <f>HYPERLINK("https://klasma.github.io/Logging_1257/tillsyn/A 60271-2024 tillsynsbegäran.docx", "A 60271-2024")</f>
        <v/>
      </c>
      <c r="AD17">
        <f>HYPERLINK("https://klasma.github.io/Logging_1257/tillsynsmail/A 60271-2024 tillsynsbegäran mail.docx", "A 60271-2024")</f>
        <v/>
      </c>
    </row>
    <row r="18" ht="15" customHeight="1">
      <c r="A18" t="inlineStr">
        <is>
          <t>A 50629-2025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45945</v>
      </c>
      <c r="E18" s="1" t="n">
        <v>46322</v>
      </c>
      <c r="F18" t="inlineStr">
        <is>
          <t>SKÅNE LÄN</t>
        </is>
      </c>
      <c r="G18" t="inlineStr">
        <is>
          <t>ÖRKELLJUNGA</t>
        </is>
      </c>
      <c r="I18" t="n">
        <v>6.3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2</v>
      </c>
      <c r="U18" t="n">
        <v>2</v>
      </c>
      <c r="V18" s="2" t="inlineStr">
        <is>
          <t>Spillkråka
Röd glada</t>
        </is>
      </c>
      <c r="W18">
        <f>HYPERLINK("https://klasma.github.io/Logging_1257/artfynd/A 50629-2025 artfynd.xlsx", "A 50629-2025")</f>
        <v/>
      </c>
      <c r="X18">
        <f>HYPERLINK("https://klasma.github.io/Logging_1257/kartor/A 50629-2025 karta.png", "A 50629-2025")</f>
        <v/>
      </c>
      <c r="Y18">
        <f>HYPERLINK("https://klasma.github.io/Logging_1257/kartor_geotiff/A 50629-2025 georefererad karta.tif", "A 50629-2025")</f>
        <v/>
      </c>
      <c r="AA18">
        <f>HYPERLINK("https://klasma.github.io/Logging_1257/klagomål/A 50629-2025 FSC-klagomål.docx", "A 50629-2025")</f>
        <v/>
      </c>
      <c r="AB18">
        <f>HYPERLINK("https://klasma.github.io/Logging_1257/klagomålsmail/A 50629-2025 FSC-klagomål mail.docx", "A 50629-2025")</f>
        <v/>
      </c>
      <c r="AC18">
        <f>HYPERLINK("https://klasma.github.io/Logging_1257/tillsyn/A 50629-2025 tillsynsbegäran.docx", "A 50629-2025")</f>
        <v/>
      </c>
      <c r="AD18">
        <f>HYPERLINK("https://klasma.github.io/Logging_1257/tillsynsmail/A 50629-2025 tillsynsbegäran mail.docx", "A 50629-2025")</f>
        <v/>
      </c>
      <c r="AE18">
        <f>HYPERLINK("https://klasma.github.io/Logging_1257/fåglar/A 50629-2025 prioriterade fågelarter.docx", "A 50629-2025")</f>
        <v/>
      </c>
    </row>
    <row r="19" ht="15" customHeight="1">
      <c r="A19" t="inlineStr">
        <is>
          <t>A 26585-2026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46183</v>
      </c>
      <c r="E19" s="1" t="n">
        <v>46322</v>
      </c>
      <c r="F19" t="inlineStr">
        <is>
          <t>SKÅNE LÄN</t>
        </is>
      </c>
      <c r="G19" t="inlineStr">
        <is>
          <t>ÖRKELLJUNGA</t>
        </is>
      </c>
      <c r="I19" t="n">
        <v>1.4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2</v>
      </c>
      <c r="U19" t="n">
        <v>0</v>
      </c>
      <c r="V19" s="2" t="inlineStr">
        <is>
          <t>Spillkråka
Röd glada</t>
        </is>
      </c>
      <c r="W19">
        <f>HYPERLINK("https://klasma.github.io/Logging_1257/artfynd/A 26585-2026 artfynd.xlsx", "A 26585-2026")</f>
        <v/>
      </c>
      <c r="X19">
        <f>HYPERLINK("https://klasma.github.io/Logging_1257/kartor/A 26585-2026 karta.png", "A 26585-2026")</f>
        <v/>
      </c>
      <c r="Y19">
        <f>HYPERLINK("https://klasma.github.io/Logging_1257/kartor_geotiff/A 26585-2026 georefererad karta.tif", "A 26585-2026")</f>
        <v/>
      </c>
      <c r="AA19">
        <f>HYPERLINK("https://klasma.github.io/Logging_1257/klagomål/A 26585-2026 FSC-klagomål.docx", "A 26585-2026")</f>
        <v/>
      </c>
      <c r="AB19">
        <f>HYPERLINK("https://klasma.github.io/Logging_1257/klagomålsmail/A 26585-2026 FSC-klagomål mail.docx", "A 26585-2026")</f>
        <v/>
      </c>
      <c r="AC19">
        <f>HYPERLINK("https://klasma.github.io/Logging_1257/tillsyn/A 26585-2026 tillsynsbegäran.docx", "A 26585-2026")</f>
        <v/>
      </c>
      <c r="AD19">
        <f>HYPERLINK("https://klasma.github.io/Logging_1257/tillsynsmail/A 26585-2026 tillsynsbegäran mail.docx", "A 26585-2026")</f>
        <v/>
      </c>
      <c r="AE19">
        <f>HYPERLINK("https://klasma.github.io/Logging_1257/fåglar/A 26585-2026 prioriterade fågelarter.docx", "A 26585-2026")</f>
        <v/>
      </c>
    </row>
    <row r="20" ht="15" customHeight="1">
      <c r="A20" t="inlineStr">
        <is>
          <t>S 2558-2023</t>
        </is>
      </c>
      <c r="B20" t="inlineStr">
        <is>
          <t>samrådsanmälan</t>
        </is>
      </c>
      <c r="C20" t="inlineStr">
        <is>
          <t>Annan skogsbruksåtgärd</t>
        </is>
      </c>
      <c r="D20" s="1" t="n">
        <v>45139</v>
      </c>
      <c r="E20" s="1" t="n">
        <v>46322</v>
      </c>
      <c r="F20" t="inlineStr">
        <is>
          <t>SKÅNE LÄN</t>
        </is>
      </c>
      <c r="G20" t="inlineStr">
        <is>
          <t>ÖRKELLJUNGA</t>
        </is>
      </c>
      <c r="I20" t="n">
        <v>2.3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2</v>
      </c>
      <c r="U20" t="n">
        <v>2</v>
      </c>
      <c r="V20" s="2" t="inlineStr">
        <is>
          <t>Skogsduva
Trana</t>
        </is>
      </c>
      <c r="W20">
        <f>HYPERLINK("https://klasma.github.io/Logging_1257/artfynd/S 2558-2023 artfynd.xlsx", "S 2558-2023")</f>
        <v/>
      </c>
      <c r="X20">
        <f>HYPERLINK("https://klasma.github.io/Logging_1257/kartor/S 2558-2023 karta.png", "S 2558-2023")</f>
        <v/>
      </c>
      <c r="Y20">
        <f>HYPERLINK("https://klasma.github.io/Logging_1257/kartor_geotiff/S 2558-2023 georefererad karta.tif", "S 2558-2023")</f>
        <v/>
      </c>
      <c r="AA20">
        <f>HYPERLINK("https://klasma.github.io/Logging_1257/klagomål/S 2558-2023 FSC-klagomål.docx", "S 2558-2023")</f>
        <v/>
      </c>
      <c r="AB20">
        <f>HYPERLINK("https://klasma.github.io/Logging_1257/klagomålsmail/S 2558-2023 FSC-klagomål mail.docx", "S 2558-2023")</f>
        <v/>
      </c>
      <c r="AC20">
        <f>HYPERLINK("https://klasma.github.io/Logging_1257/tillsyn/S 2558-2023 tillsynsbegäran.docx", "S 2558-2023")</f>
        <v/>
      </c>
      <c r="AD20">
        <f>HYPERLINK("https://klasma.github.io/Logging_1257/tillsynsmail/S 2558-2023 tillsynsbegäran mail.docx", "S 2558-2023")</f>
        <v/>
      </c>
      <c r="AE20">
        <f>HYPERLINK("https://klasma.github.io/Logging_1257/fåglar/S 2558-2023 prioriterade fågelarter.docx", "S 2558-2023")</f>
        <v/>
      </c>
    </row>
    <row r="21" ht="15" customHeight="1">
      <c r="A21" t="inlineStr">
        <is>
          <t>S 3934-2023</t>
        </is>
      </c>
      <c r="B21" t="inlineStr">
        <is>
          <t>samrådsanmälan</t>
        </is>
      </c>
      <c r="C21" t="inlineStr">
        <is>
          <t>Annan skogsbruksåtgärd</t>
        </is>
      </c>
      <c r="D21" s="1" t="n">
        <v>45234</v>
      </c>
      <c r="E21" s="1" t="n">
        <v>46322</v>
      </c>
      <c r="F21" t="inlineStr">
        <is>
          <t>SKÅNE LÄN</t>
        </is>
      </c>
      <c r="G21" t="inlineStr">
        <is>
          <t>ÖRKELLJUNGA</t>
        </is>
      </c>
      <c r="I21" t="n">
        <v>1.3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1</v>
      </c>
      <c r="V21" s="2" t="inlineStr">
        <is>
          <t>Fjällsopp
Spillkråka</t>
        </is>
      </c>
      <c r="W21">
        <f>HYPERLINK("https://klasma.github.io/Logging_1257/artfynd/S 3934-2023 artfynd.xlsx", "S 3934-2023")</f>
        <v/>
      </c>
      <c r="X21">
        <f>HYPERLINK("https://klasma.github.io/Logging_1257/kartor/S 3934-2023 karta.png", "S 3934-2023")</f>
        <v/>
      </c>
      <c r="Y21">
        <f>HYPERLINK("https://klasma.github.io/Logging_1257/kartor_geotiff/S 3934-2023 georefererad karta.tif", "S 3934-2023")</f>
        <v/>
      </c>
      <c r="AA21">
        <f>HYPERLINK("https://klasma.github.io/Logging_1257/klagomål/S 3934-2023 FSC-klagomål.docx", "S 3934-2023")</f>
        <v/>
      </c>
      <c r="AB21">
        <f>HYPERLINK("https://klasma.github.io/Logging_1257/klagomålsmail/S 3934-2023 FSC-klagomål mail.docx", "S 3934-2023")</f>
        <v/>
      </c>
      <c r="AC21">
        <f>HYPERLINK("https://klasma.github.io/Logging_1257/tillsyn/S 3934-2023 tillsynsbegäran.docx", "S 3934-2023")</f>
        <v/>
      </c>
      <c r="AD21">
        <f>HYPERLINK("https://klasma.github.io/Logging_1257/tillsynsmail/S 3934-2023 tillsynsbegäran mail.docx", "S 3934-2023")</f>
        <v/>
      </c>
      <c r="AE21">
        <f>HYPERLINK("https://klasma.github.io/Logging_1257/fåglar/S 3934-2023 prioriterade fågelarter.docx", "S 3934-2023")</f>
        <v/>
      </c>
    </row>
    <row r="22" ht="15" customHeight="1">
      <c r="A22" t="inlineStr">
        <is>
          <t>A 65473-2021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44516</v>
      </c>
      <c r="E22" s="1" t="n">
        <v>46322</v>
      </c>
      <c r="F22" t="inlineStr">
        <is>
          <t>SKÅNE LÄN</t>
        </is>
      </c>
      <c r="G22" t="inlineStr">
        <is>
          <t>ÖRKELLJUNGA</t>
        </is>
      </c>
      <c r="I22" t="n">
        <v>0.5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s="2" t="inlineStr">
        <is>
          <t>Blåmossa</t>
        </is>
      </c>
      <c r="W22">
        <f>HYPERLINK("https://klasma.github.io/Logging_1257/artfynd/A 65473-2021 artfynd.xlsx", "A 65473-2021")</f>
        <v/>
      </c>
      <c r="X22">
        <f>HYPERLINK("https://klasma.github.io/Logging_1257/kartor/A 65473-2021 karta.png", "A 65473-2021")</f>
        <v/>
      </c>
      <c r="Y22">
        <f>HYPERLINK("https://klasma.github.io/Logging_1257/kartor_geotiff/A 65473-2021 georefererad karta.tif", "A 65473-2021")</f>
        <v/>
      </c>
      <c r="AA22">
        <f>HYPERLINK("https://klasma.github.io/Logging_1257/klagomål/A 65473-2021 FSC-klagomål.docx", "A 65473-2021")</f>
        <v/>
      </c>
      <c r="AB22">
        <f>HYPERLINK("https://klasma.github.io/Logging_1257/klagomålsmail/A 65473-2021 FSC-klagomål mail.docx", "A 65473-2021")</f>
        <v/>
      </c>
      <c r="AC22">
        <f>HYPERLINK("https://klasma.github.io/Logging_1257/tillsyn/A 65473-2021 tillsynsbegäran.docx", "A 65473-2021")</f>
        <v/>
      </c>
      <c r="AD22">
        <f>HYPERLINK("https://klasma.github.io/Logging_1257/tillsynsmail/A 65473-2021 tillsynsbegäran mail.docx", "A 65473-2021")</f>
        <v/>
      </c>
    </row>
    <row r="23" ht="15" customHeight="1">
      <c r="A23" t="inlineStr">
        <is>
          <t>A 1604-2025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45670</v>
      </c>
      <c r="E23" s="1" t="n">
        <v>46322</v>
      </c>
      <c r="F23" t="inlineStr">
        <is>
          <t>SKÅNE LÄN</t>
        </is>
      </c>
      <c r="G23" t="inlineStr">
        <is>
          <t>ÖRKELLJUNGA</t>
        </is>
      </c>
      <c r="H23" t="inlineStr">
        <is>
          <t>Kommuner</t>
        </is>
      </c>
      <c r="I23" t="n">
        <v>7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s="2" t="inlineStr">
        <is>
          <t>Igelkott</t>
        </is>
      </c>
      <c r="W23">
        <f>HYPERLINK("https://klasma.github.io/Logging_1257/artfynd/A 1604-2025 artfynd.xlsx", "A 1604-2025")</f>
        <v/>
      </c>
      <c r="X23">
        <f>HYPERLINK("https://klasma.github.io/Logging_1257/kartor/A 1604-2025 karta.png", "A 1604-2025")</f>
        <v/>
      </c>
      <c r="Y23">
        <f>HYPERLINK("https://klasma.github.io/Logging_1257/kartor_geotiff/A 1604-2025 georefererad karta.tif", "A 1604-2025")</f>
        <v/>
      </c>
      <c r="AA23">
        <f>HYPERLINK("https://klasma.github.io/Logging_1257/klagomål/A 1604-2025 FSC-klagomål.docx", "A 1604-2025")</f>
        <v/>
      </c>
      <c r="AB23">
        <f>HYPERLINK("https://klasma.github.io/Logging_1257/klagomålsmail/A 1604-2025 FSC-klagomål mail.docx", "A 1604-2025")</f>
        <v/>
      </c>
      <c r="AC23">
        <f>HYPERLINK("https://klasma.github.io/Logging_1257/tillsyn/A 1604-2025 tillsynsbegäran.docx", "A 1604-2025")</f>
        <v/>
      </c>
      <c r="AD23">
        <f>HYPERLINK("https://klasma.github.io/Logging_1257/tillsynsmail/A 1604-2025 tillsynsbegäran mail.docx", "A 1604-2025")</f>
        <v/>
      </c>
    </row>
    <row r="24" ht="15" customHeight="1">
      <c r="A24" t="inlineStr">
        <is>
          <t>A 21867-2025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45784</v>
      </c>
      <c r="E24" s="1" t="n">
        <v>46322</v>
      </c>
      <c r="F24" t="inlineStr">
        <is>
          <t>SKÅNE LÄN</t>
        </is>
      </c>
      <c r="G24" t="inlineStr">
        <is>
          <t>ÖRKELLJUNGA</t>
        </is>
      </c>
      <c r="I24" t="n">
        <v>1.2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Källkvicklöpare</t>
        </is>
      </c>
      <c r="W24">
        <f>HYPERLINK("https://klasma.github.io/Logging_1257/artfynd/A 21867-2025 artfynd.xlsx", "A 21867-2025")</f>
        <v/>
      </c>
      <c r="X24">
        <f>HYPERLINK("https://klasma.github.io/Logging_1257/kartor/A 21867-2025 karta.png", "A 21867-2025")</f>
        <v/>
      </c>
      <c r="Y24">
        <f>HYPERLINK("https://klasma.github.io/Logging_1257/kartor_geotiff/A 21867-2025 georefererad karta.tif", "A 21867-2025")</f>
        <v/>
      </c>
      <c r="AA24">
        <f>HYPERLINK("https://klasma.github.io/Logging_1257/klagomål/A 21867-2025 FSC-klagomål.docx", "A 21867-2025")</f>
        <v/>
      </c>
      <c r="AB24">
        <f>HYPERLINK("https://klasma.github.io/Logging_1257/klagomålsmail/A 21867-2025 FSC-klagomål mail.docx", "A 21867-2025")</f>
        <v/>
      </c>
      <c r="AC24">
        <f>HYPERLINK("https://klasma.github.io/Logging_1257/tillsyn/A 21867-2025 tillsynsbegäran.docx", "A 21867-2025")</f>
        <v/>
      </c>
      <c r="AD24">
        <f>HYPERLINK("https://klasma.github.io/Logging_1257/tillsynsmail/A 21867-2025 tillsynsbegäran mail.docx", "A 21867-2025")</f>
        <v/>
      </c>
    </row>
    <row r="25" ht="15" customHeight="1">
      <c r="A25" t="inlineStr">
        <is>
          <t>A 57429-2025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45980</v>
      </c>
      <c r="E25" s="1" t="n">
        <v>46322</v>
      </c>
      <c r="F25" t="inlineStr">
        <is>
          <t>SKÅNE LÄN</t>
        </is>
      </c>
      <c r="G25" t="inlineStr">
        <is>
          <t>ÖRKELLJUNGA</t>
        </is>
      </c>
      <c r="I25" t="n">
        <v>2.8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s="2" t="inlineStr">
        <is>
          <t>Slåttergubbe</t>
        </is>
      </c>
      <c r="W25">
        <f>HYPERLINK("https://klasma.github.io/Logging_1257/artfynd/A 57429-2025 artfynd.xlsx", "A 57429-2025")</f>
        <v/>
      </c>
      <c r="X25">
        <f>HYPERLINK("https://klasma.github.io/Logging_1257/kartor/A 57429-2025 karta.png", "A 57429-2025")</f>
        <v/>
      </c>
      <c r="Y25">
        <f>HYPERLINK("https://klasma.github.io/Logging_1257/kartor_geotiff/A 57429-2025 georefererad karta.tif", "A 57429-2025")</f>
        <v/>
      </c>
      <c r="AA25">
        <f>HYPERLINK("https://klasma.github.io/Logging_1257/klagomål/A 57429-2025 FSC-klagomål.docx", "A 57429-2025")</f>
        <v/>
      </c>
      <c r="AB25">
        <f>HYPERLINK("https://klasma.github.io/Logging_1257/klagomålsmail/A 57429-2025 FSC-klagomål mail.docx", "A 57429-2025")</f>
        <v/>
      </c>
      <c r="AC25">
        <f>HYPERLINK("https://klasma.github.io/Logging_1257/tillsyn/A 57429-2025 tillsynsbegäran.docx", "A 57429-2025")</f>
        <v/>
      </c>
      <c r="AD25">
        <f>HYPERLINK("https://klasma.github.io/Logging_1257/tillsynsmail/A 57429-2025 tillsynsbegäran mail.docx", "A 57429-2025")</f>
        <v/>
      </c>
    </row>
    <row r="26" ht="15" customHeight="1">
      <c r="A26" t="inlineStr">
        <is>
          <t>A 6137-2024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45337</v>
      </c>
      <c r="E26" s="1" t="n">
        <v>46322</v>
      </c>
      <c r="F26" t="inlineStr">
        <is>
          <t>SKÅNE LÄN</t>
        </is>
      </c>
      <c r="G26" t="inlineStr">
        <is>
          <t>ÖRKELLJUNGA</t>
        </is>
      </c>
      <c r="I26" t="n">
        <v>11.7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s="2" t="inlineStr">
        <is>
          <t>Skorpplätt</t>
        </is>
      </c>
      <c r="W26">
        <f>HYPERLINK("https://klasma.github.io/Logging_1257/artfynd/A 6137-2024 artfynd.xlsx", "A 6137-2024")</f>
        <v/>
      </c>
      <c r="X26">
        <f>HYPERLINK("https://klasma.github.io/Logging_1257/kartor/A 6137-2024 karta.png", "A 6137-2024")</f>
        <v/>
      </c>
      <c r="Y26">
        <f>HYPERLINK("https://klasma.github.io/Logging_1257/kartor_geotiff/A 6137-2024 georefererad karta.tif", "A 6137-2024")</f>
        <v/>
      </c>
      <c r="AA26">
        <f>HYPERLINK("https://klasma.github.io/Logging_1257/klagomål/A 6137-2024 FSC-klagomål.docx", "A 6137-2024")</f>
        <v/>
      </c>
      <c r="AB26">
        <f>HYPERLINK("https://klasma.github.io/Logging_1257/klagomålsmail/A 6137-2024 FSC-klagomål mail.docx", "A 6137-2024")</f>
        <v/>
      </c>
      <c r="AC26">
        <f>HYPERLINK("https://klasma.github.io/Logging_1257/tillsyn/A 6137-2024 tillsynsbegäran.docx", "A 6137-2024")</f>
        <v/>
      </c>
      <c r="AD26">
        <f>HYPERLINK("https://klasma.github.io/Logging_1257/tillsynsmail/A 6137-2024 tillsynsbegäran mail.docx", "A 6137-2024")</f>
        <v/>
      </c>
    </row>
    <row r="27" ht="15" customHeight="1">
      <c r="A27" t="inlineStr">
        <is>
          <t>A 10496-2026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46076</v>
      </c>
      <c r="E27" s="1" t="n">
        <v>46322</v>
      </c>
      <c r="F27" t="inlineStr">
        <is>
          <t>SKÅNE LÄN</t>
        </is>
      </c>
      <c r="G27" t="inlineStr">
        <is>
          <t>ÖRKELLJUNGA</t>
        </is>
      </c>
      <c r="I27" t="n">
        <v>0.7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Skogsödla</t>
        </is>
      </c>
      <c r="W27">
        <f>HYPERLINK("https://klasma.github.io/Logging_1257/artfynd/A 10496-2026 artfynd.xlsx", "A 10496-2026")</f>
        <v/>
      </c>
      <c r="X27">
        <f>HYPERLINK("https://klasma.github.io/Logging_1257/kartor/A 10496-2026 karta.png", "A 10496-2026")</f>
        <v/>
      </c>
      <c r="Y27">
        <f>HYPERLINK("https://klasma.github.io/Logging_1257/kartor_geotiff/A 10496-2026 georefererad karta.tif", "A 10496-2026")</f>
        <v/>
      </c>
      <c r="AA27">
        <f>HYPERLINK("https://klasma.github.io/Logging_1257/klagomål/A 10496-2026 FSC-klagomål.docx", "A 10496-2026")</f>
        <v/>
      </c>
      <c r="AB27">
        <f>HYPERLINK("https://klasma.github.io/Logging_1257/klagomålsmail/A 10496-2026 FSC-klagomål mail.docx", "A 10496-2026")</f>
        <v/>
      </c>
      <c r="AC27">
        <f>HYPERLINK("https://klasma.github.io/Logging_1257/tillsyn/A 10496-2026 tillsynsbegäran.docx", "A 10496-2026")</f>
        <v/>
      </c>
      <c r="AD27">
        <f>HYPERLINK("https://klasma.github.io/Logging_1257/tillsynsmail/A 10496-2026 tillsynsbegäran mail.docx", "A 10496-2026")</f>
        <v/>
      </c>
    </row>
    <row r="28" ht="15" customHeight="1">
      <c r="A28" t="inlineStr">
        <is>
          <t>A 15068-2023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45015</v>
      </c>
      <c r="E28" s="1" t="n">
        <v>46322</v>
      </c>
      <c r="F28" t="inlineStr">
        <is>
          <t>SKÅNE LÄN</t>
        </is>
      </c>
      <c r="G28" t="inlineStr">
        <is>
          <t>ÖRKELLJUNGA</t>
        </is>
      </c>
      <c r="I28" t="n">
        <v>9.9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s="2" t="inlineStr">
        <is>
          <t>Kambräken</t>
        </is>
      </c>
      <c r="W28">
        <f>HYPERLINK("https://klasma.github.io/Logging_1257/artfynd/A 15068-2023 artfynd.xlsx", "A 15068-2023")</f>
        <v/>
      </c>
      <c r="X28">
        <f>HYPERLINK("https://klasma.github.io/Logging_1257/kartor/A 15068-2023 karta.png", "A 15068-2023")</f>
        <v/>
      </c>
      <c r="Y28">
        <f>HYPERLINK("https://klasma.github.io/Logging_1257/kartor_geotiff/A 15068-2023 georefererad karta.tif", "A 15068-2023")</f>
        <v/>
      </c>
      <c r="AA28">
        <f>HYPERLINK("https://klasma.github.io/Logging_1257/klagomål/A 15068-2023 FSC-klagomål.docx", "A 15068-2023")</f>
        <v/>
      </c>
      <c r="AB28">
        <f>HYPERLINK("https://klasma.github.io/Logging_1257/klagomålsmail/A 15068-2023 FSC-klagomål mail.docx", "A 15068-2023")</f>
        <v/>
      </c>
      <c r="AC28">
        <f>HYPERLINK("https://klasma.github.io/Logging_1257/tillsyn/A 15068-2023 tillsynsbegäran.docx", "A 15068-2023")</f>
        <v/>
      </c>
      <c r="AD28">
        <f>HYPERLINK("https://klasma.github.io/Logging_1257/tillsynsmail/A 15068-2023 tillsynsbegäran mail.docx", "A 15068-2023")</f>
        <v/>
      </c>
    </row>
    <row r="29" ht="15" customHeight="1">
      <c r="A29" t="inlineStr">
        <is>
          <t>A 22410-2024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45446</v>
      </c>
      <c r="E29" s="1" t="n">
        <v>46322</v>
      </c>
      <c r="F29" t="inlineStr">
        <is>
          <t>SKÅNE LÄN</t>
        </is>
      </c>
      <c r="G29" t="inlineStr">
        <is>
          <t>ÖRKELLJUNGA</t>
        </is>
      </c>
      <c r="I29" t="n">
        <v>6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Revlummer</t>
        </is>
      </c>
      <c r="W29">
        <f>HYPERLINK("https://klasma.github.io/Logging_1257/artfynd/A 22410-2024 artfynd.xlsx", "A 22410-2024")</f>
        <v/>
      </c>
      <c r="X29">
        <f>HYPERLINK("https://klasma.github.io/Logging_1257/kartor/A 22410-2024 karta.png", "A 22410-2024")</f>
        <v/>
      </c>
      <c r="Y29">
        <f>HYPERLINK("https://klasma.github.io/Logging_1257/kartor_geotiff/A 22410-2024 georefererad karta.tif", "A 22410-2024")</f>
        <v/>
      </c>
      <c r="AA29">
        <f>HYPERLINK("https://klasma.github.io/Logging_1257/klagomål/A 22410-2024 FSC-klagomål.docx", "A 22410-2024")</f>
        <v/>
      </c>
      <c r="AB29">
        <f>HYPERLINK("https://klasma.github.io/Logging_1257/klagomålsmail/A 22410-2024 FSC-klagomål mail.docx", "A 22410-2024")</f>
        <v/>
      </c>
      <c r="AC29">
        <f>HYPERLINK("https://klasma.github.io/Logging_1257/tillsyn/A 22410-2024 tillsynsbegäran.docx", "A 22410-2024")</f>
        <v/>
      </c>
      <c r="AD29">
        <f>HYPERLINK("https://klasma.github.io/Logging_1257/tillsynsmail/A 22410-2024 tillsynsbegäran mail.docx", "A 22410-2024")</f>
        <v/>
      </c>
    </row>
    <row r="30" ht="15" customHeight="1">
      <c r="A30" t="inlineStr">
        <is>
          <t>A 44244-2026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46318</v>
      </c>
      <c r="E30" s="1" t="n">
        <v>46322</v>
      </c>
      <c r="F30" t="inlineStr">
        <is>
          <t>SKÅNE LÄN</t>
        </is>
      </c>
      <c r="G30" t="inlineStr">
        <is>
          <t>ÖRKELLJUNGA</t>
        </is>
      </c>
      <c r="I30" t="n">
        <v>2.1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Kråka</t>
        </is>
      </c>
      <c r="W30">
        <f>HYPERLINK("https://klasma.github.io/Logging_1257/artfynd/A 44244-2026 artfynd.xlsx", "A 44244-2026")</f>
        <v/>
      </c>
      <c r="X30">
        <f>HYPERLINK("https://klasma.github.io/Logging_1257/kartor/A 44244-2026 karta.png", "A 44244-2026")</f>
        <v/>
      </c>
      <c r="Y30">
        <f>HYPERLINK("https://klasma.github.io/Logging_1257/kartor_geotiff/A 44244-2026 georefererad karta.tif", "A 44244-2026")</f>
        <v/>
      </c>
      <c r="AA30">
        <f>HYPERLINK("https://klasma.github.io/Logging_1257/klagomål/A 44244-2026 FSC-klagomål.docx", "A 44244-2026")</f>
        <v/>
      </c>
      <c r="AB30">
        <f>HYPERLINK("https://klasma.github.io/Logging_1257/klagomålsmail/A 44244-2026 FSC-klagomål mail.docx", "A 44244-2026")</f>
        <v/>
      </c>
      <c r="AC30">
        <f>HYPERLINK("https://klasma.github.io/Logging_1257/tillsyn/A 44244-2026 tillsynsbegäran.docx", "A 44244-2026")</f>
        <v/>
      </c>
      <c r="AD30">
        <f>HYPERLINK("https://klasma.github.io/Logging_1257/tillsynsmail/A 44244-2026 tillsynsbegäran mail.docx", "A 44244-2026")</f>
        <v/>
      </c>
    </row>
    <row r="31" ht="15" customHeight="1">
      <c r="A31" t="inlineStr">
        <is>
          <t>S 2910-2024</t>
        </is>
      </c>
      <c r="B31" t="inlineStr">
        <is>
          <t>samrådsanmälan</t>
        </is>
      </c>
      <c r="C31" t="inlineStr">
        <is>
          <t>Annan skogsbruksåtgärd</t>
        </is>
      </c>
      <c r="D31" s="1" t="n">
        <v>45503</v>
      </c>
      <c r="E31" s="1" t="n">
        <v>46322</v>
      </c>
      <c r="F31" t="inlineStr">
        <is>
          <t>SKÅNE LÄN</t>
        </is>
      </c>
      <c r="G31" t="inlineStr">
        <is>
          <t>ÖRKELLJUNGA</t>
        </is>
      </c>
      <c r="I31" t="n">
        <v>0.4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Spillkråka</t>
        </is>
      </c>
      <c r="W31">
        <f>HYPERLINK("https://klasma.github.io/Logging_1257/artfynd/S 2910-2024 artfynd.xlsx", "S 2910-2024")</f>
        <v/>
      </c>
      <c r="X31">
        <f>HYPERLINK("https://klasma.github.io/Logging_1257/kartor/S 2910-2024 karta.png", "S 2910-2024")</f>
        <v/>
      </c>
      <c r="Y31">
        <f>HYPERLINK("https://klasma.github.io/Logging_1257/kartor_geotiff/S 2910-2024 georefererad karta.tif", "S 2910-2024")</f>
        <v/>
      </c>
      <c r="AA31">
        <f>HYPERLINK("https://klasma.github.io/Logging_1257/klagomål/S 2910-2024 FSC-klagomål.docx", "S 2910-2024")</f>
        <v/>
      </c>
      <c r="AB31">
        <f>HYPERLINK("https://klasma.github.io/Logging_1257/klagomålsmail/S 2910-2024 FSC-klagomål mail.docx", "S 2910-2024")</f>
        <v/>
      </c>
      <c r="AC31">
        <f>HYPERLINK("https://klasma.github.io/Logging_1257/tillsyn/S 2910-2024 tillsynsbegäran.docx", "S 2910-2024")</f>
        <v/>
      </c>
      <c r="AD31">
        <f>HYPERLINK("https://klasma.github.io/Logging_1257/tillsynsmail/S 2910-2024 tillsynsbegäran mail.docx", "S 2910-2024")</f>
        <v/>
      </c>
      <c r="AE31">
        <f>HYPERLINK("https://klasma.github.io/Logging_1257/fåglar/S 2910-2024 prioriterade fågelarter.docx", "S 2910-2024")</f>
        <v/>
      </c>
    </row>
    <row r="32" ht="15" customHeight="1">
      <c r="A32" t="inlineStr">
        <is>
          <t>S 4056-2023</t>
        </is>
      </c>
      <c r="B32" t="inlineStr">
        <is>
          <t>samrådsanmälan</t>
        </is>
      </c>
      <c r="C32" t="inlineStr">
        <is>
          <t>Askåterföring</t>
        </is>
      </c>
      <c r="D32" s="1" t="n">
        <v>45243</v>
      </c>
      <c r="E32" s="1" t="n">
        <v>46322</v>
      </c>
      <c r="F32" t="inlineStr">
        <is>
          <t>SKÅNE LÄN</t>
        </is>
      </c>
      <c r="G32" t="inlineStr">
        <is>
          <t>ÖRKELLJUNGA</t>
        </is>
      </c>
      <c r="I32" t="n">
        <v>7.1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s="2" t="inlineStr">
        <is>
          <t>Grönvit nattviol</t>
        </is>
      </c>
      <c r="W32">
        <f>HYPERLINK("https://klasma.github.io/Logging_1257/artfynd/S 4056-2023 artfynd.xlsx", "S 4056-2023")</f>
        <v/>
      </c>
      <c r="X32">
        <f>HYPERLINK("https://klasma.github.io/Logging_1257/kartor/S 4056-2023 karta.png", "S 4056-2023")</f>
        <v/>
      </c>
      <c r="Y32">
        <f>HYPERLINK("https://klasma.github.io/Logging_1257/kartor_geotiff/S 4056-2023 georefererad karta.tif", "S 4056-2023")</f>
        <v/>
      </c>
      <c r="AA32">
        <f>HYPERLINK("https://klasma.github.io/Logging_1257/klagomål/S 4056-2023 FSC-klagomål.docx", "S 4056-2023")</f>
        <v/>
      </c>
      <c r="AB32">
        <f>HYPERLINK("https://klasma.github.io/Logging_1257/klagomålsmail/S 4056-2023 FSC-klagomål mail.docx", "S 4056-2023")</f>
        <v/>
      </c>
      <c r="AC32">
        <f>HYPERLINK("https://klasma.github.io/Logging_1257/tillsyn/S 4056-2023 tillsynsbegäran.docx", "S 4056-2023")</f>
        <v/>
      </c>
      <c r="AD32">
        <f>HYPERLINK("https://klasma.github.io/Logging_1257/tillsynsmail/S 4056-2023 tillsynsbegäran mail.docx", "S 4056-2023")</f>
        <v/>
      </c>
    </row>
    <row r="33" ht="15" customHeight="1">
      <c r="A33" t="inlineStr">
        <is>
          <t>S 2731-2022</t>
        </is>
      </c>
      <c r="B33" t="inlineStr">
        <is>
          <t>samrådsanmälan</t>
        </is>
      </c>
      <c r="C33" t="inlineStr">
        <is>
          <t>Askåterföring</t>
        </is>
      </c>
      <c r="D33" s="1" t="n">
        <v>44704</v>
      </c>
      <c r="E33" s="1" t="n">
        <v>46322</v>
      </c>
      <c r="F33" t="inlineStr">
        <is>
          <t>SKÅNE LÄN</t>
        </is>
      </c>
      <c r="G33" t="inlineStr">
        <is>
          <t>ÖRKELLJUNGA</t>
        </is>
      </c>
      <c r="H33" t="inlineStr">
        <is>
          <t>Kyrkan</t>
        </is>
      </c>
      <c r="I33" t="n">
        <v>24.7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s="2" t="inlineStr">
        <is>
          <t>Gröngöling</t>
        </is>
      </c>
      <c r="W33">
        <f>HYPERLINK("https://klasma.github.io/Logging_1257/artfynd/S 2731-2022 artfynd.xlsx", "S 2731-2022")</f>
        <v/>
      </c>
      <c r="X33">
        <f>HYPERLINK("https://klasma.github.io/Logging_1257/kartor/S 2731-2022 karta.png", "S 2731-2022")</f>
        <v/>
      </c>
      <c r="Y33">
        <f>HYPERLINK("https://klasma.github.io/Logging_1257/kartor_geotiff/S 2731-2022 georefererad karta.tif", "S 2731-2022")</f>
        <v/>
      </c>
      <c r="AA33">
        <f>HYPERLINK("https://klasma.github.io/Logging_1257/klagomål/S 2731-2022 FSC-klagomål.docx", "S 2731-2022")</f>
        <v/>
      </c>
      <c r="AB33">
        <f>HYPERLINK("https://klasma.github.io/Logging_1257/klagomålsmail/S 2731-2022 FSC-klagomål mail.docx", "S 2731-2022")</f>
        <v/>
      </c>
      <c r="AC33">
        <f>HYPERLINK("https://klasma.github.io/Logging_1257/tillsyn/S 2731-2022 tillsynsbegäran.docx", "S 2731-2022")</f>
        <v/>
      </c>
      <c r="AD33">
        <f>HYPERLINK("https://klasma.github.io/Logging_1257/tillsynsmail/S 2731-2022 tillsynsbegäran mail.docx", "S 2731-2022")</f>
        <v/>
      </c>
    </row>
    <row r="34" ht="15" customHeight="1">
      <c r="A34" t="inlineStr">
        <is>
          <t>S 4251-2024</t>
        </is>
      </c>
      <c r="B34" t="inlineStr">
        <is>
          <t>samrådsanmälan</t>
        </is>
      </c>
      <c r="C34" t="inlineStr">
        <is>
          <t>Askåterföring</t>
        </is>
      </c>
      <c r="D34" s="1" t="n">
        <v>45582</v>
      </c>
      <c r="E34" s="1" t="n">
        <v>46322</v>
      </c>
      <c r="F34" t="inlineStr">
        <is>
          <t>SKÅNE LÄN</t>
        </is>
      </c>
      <c r="G34" t="inlineStr">
        <is>
          <t>ÖRKELLJUNGA</t>
        </is>
      </c>
      <c r="I34" t="n">
        <v>25.4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s="2" t="inlineStr">
        <is>
          <t>Svartvit flugsnappare</t>
        </is>
      </c>
      <c r="W34">
        <f>HYPERLINK("https://klasma.github.io/Logging_1257/artfynd/S 4251-2024 artfynd.xlsx", "S 4251-2024")</f>
        <v/>
      </c>
      <c r="X34">
        <f>HYPERLINK("https://klasma.github.io/Logging_1257/kartor/S 4251-2024 karta.png", "S 4251-2024")</f>
        <v/>
      </c>
      <c r="Y34">
        <f>HYPERLINK("https://klasma.github.io/Logging_1257/kartor_geotiff/S 4251-2024 georefererad karta.tif", "S 4251-2024")</f>
        <v/>
      </c>
      <c r="AA34">
        <f>HYPERLINK("https://klasma.github.io/Logging_1257/klagomål/S 4251-2024 FSC-klagomål.docx", "S 4251-2024")</f>
        <v/>
      </c>
      <c r="AB34">
        <f>HYPERLINK("https://klasma.github.io/Logging_1257/klagomålsmail/S 4251-2024 FSC-klagomål mail.docx", "S 4251-2024")</f>
        <v/>
      </c>
      <c r="AC34">
        <f>HYPERLINK("https://klasma.github.io/Logging_1257/tillsyn/S 4251-2024 tillsynsbegäran.docx", "S 4251-2024")</f>
        <v/>
      </c>
      <c r="AD34">
        <f>HYPERLINK("https://klasma.github.io/Logging_1257/tillsynsmail/S 4251-2024 tillsynsbegäran mail.docx", "S 4251-2024")</f>
        <v/>
      </c>
    </row>
    <row r="35" ht="15" customHeight="1">
      <c r="A35" t="inlineStr">
        <is>
          <t>S 287-2026</t>
        </is>
      </c>
      <c r="B35" t="inlineStr">
        <is>
          <t>samrådsanmälan</t>
        </is>
      </c>
      <c r="C35" t="inlineStr">
        <is>
          <t>Askåterföring</t>
        </is>
      </c>
      <c r="D35" s="1" t="n">
        <v>46057</v>
      </c>
      <c r="E35" s="1" t="n">
        <v>46322</v>
      </c>
      <c r="F35" t="inlineStr">
        <is>
          <t>SKÅNE LÄN</t>
        </is>
      </c>
      <c r="G35" t="inlineStr">
        <is>
          <t>ÖRKELLJUNGA</t>
        </is>
      </c>
      <c r="I35" t="n">
        <v>31.6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Kungsfågel</t>
        </is>
      </c>
      <c r="W35">
        <f>HYPERLINK("https://klasma.github.io/Logging_1257/artfynd/S 287-2026 artfynd.xlsx", "S 287-2026")</f>
        <v/>
      </c>
      <c r="X35">
        <f>HYPERLINK("https://klasma.github.io/Logging_1257/kartor/S 287-2026 karta.png", "S 287-2026")</f>
        <v/>
      </c>
      <c r="Y35">
        <f>HYPERLINK("https://klasma.github.io/Logging_1257/kartor_geotiff/S 287-2026 georefererad karta.tif", "S 287-2026")</f>
        <v/>
      </c>
      <c r="AA35">
        <f>HYPERLINK("https://klasma.github.io/Logging_1257/klagomål/S 287-2026 FSC-klagomål.docx", "S 287-2026")</f>
        <v/>
      </c>
      <c r="AB35">
        <f>HYPERLINK("https://klasma.github.io/Logging_1257/klagomålsmail/S 287-2026 FSC-klagomål mail.docx", "S 287-2026")</f>
        <v/>
      </c>
      <c r="AC35">
        <f>HYPERLINK("https://klasma.github.io/Logging_1257/tillsyn/S 287-2026 tillsynsbegäran.docx", "S 287-2026")</f>
        <v/>
      </c>
      <c r="AD35">
        <f>HYPERLINK("https://klasma.github.io/Logging_1257/tillsynsmail/S 287-2026 tillsynsbegäran mail.docx", "S 287-2026")</f>
        <v/>
      </c>
    </row>
    <row r="36" ht="15" customHeight="1">
      <c r="A36" t="inlineStr">
        <is>
          <t>A 33323-2022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44788</v>
      </c>
      <c r="E36" s="1" t="n">
        <v>46322</v>
      </c>
      <c r="F36" t="inlineStr">
        <is>
          <t>SKÅNE LÄN</t>
        </is>
      </c>
      <c r="G36" t="inlineStr">
        <is>
          <t>ÖRKELLJUNGA</t>
        </is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40196-2022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44820</v>
      </c>
      <c r="E37" s="1" t="n">
        <v>46322</v>
      </c>
      <c r="F37" t="inlineStr">
        <is>
          <t>SKÅNE LÄN</t>
        </is>
      </c>
      <c r="G37" t="inlineStr">
        <is>
          <t>ÖRKELLJUNGA</t>
        </is>
      </c>
      <c r="I37" t="n">
        <v>0.4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33328-2022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44788</v>
      </c>
      <c r="E38" s="1" t="n">
        <v>46322</v>
      </c>
      <c r="F38" t="inlineStr">
        <is>
          <t>SKÅNE LÄN</t>
        </is>
      </c>
      <c r="G38" t="inlineStr">
        <is>
          <t>ÖRKELLJUNGA</t>
        </is>
      </c>
      <c r="I38" t="n">
        <v>3.7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16920-2022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44676</v>
      </c>
      <c r="E39" s="1" t="n">
        <v>46322</v>
      </c>
      <c r="F39" t="inlineStr">
        <is>
          <t>SKÅNE LÄN</t>
        </is>
      </c>
      <c r="G39" t="inlineStr">
        <is>
          <t>ÖRKELLJUNGA</t>
        </is>
      </c>
      <c r="I39" t="n">
        <v>1.2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38560-2022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44813</v>
      </c>
      <c r="E40" s="1" t="n">
        <v>46322</v>
      </c>
      <c r="F40" t="inlineStr">
        <is>
          <t>SKÅNE LÄN</t>
        </is>
      </c>
      <c r="G40" t="inlineStr">
        <is>
          <t>ÖRKELLJUNGA</t>
        </is>
      </c>
      <c r="I40" t="n">
        <v>1.7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72707-2021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44546</v>
      </c>
      <c r="E41" s="1" t="n">
        <v>46322</v>
      </c>
      <c r="F41" t="inlineStr">
        <is>
          <t>SKÅNE LÄN</t>
        </is>
      </c>
      <c r="G41" t="inlineStr">
        <is>
          <t>ÖRKELLJUNGA</t>
        </is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45968-2022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44846</v>
      </c>
      <c r="E42" s="1" t="n">
        <v>46322</v>
      </c>
      <c r="F42" t="inlineStr">
        <is>
          <t>SKÅNE LÄN</t>
        </is>
      </c>
      <c r="G42" t="inlineStr">
        <is>
          <t>ÖRKELLJUNGA</t>
        </is>
      </c>
      <c r="I42" t="n">
        <v>1.2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29333-2022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44752</v>
      </c>
      <c r="E43" s="1" t="n">
        <v>46322</v>
      </c>
      <c r="F43" t="inlineStr">
        <is>
          <t>SKÅNE LÄN</t>
        </is>
      </c>
      <c r="G43" t="inlineStr">
        <is>
          <t>ÖRKELLJUNGA</t>
        </is>
      </c>
      <c r="I43" t="n">
        <v>1.2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8111-2022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44607</v>
      </c>
      <c r="E44" s="1" t="n">
        <v>46322</v>
      </c>
      <c r="F44" t="inlineStr">
        <is>
          <t>SKÅNE LÄN</t>
        </is>
      </c>
      <c r="G44" t="inlineStr">
        <is>
          <t>ÖRKELLJUNGA</t>
        </is>
      </c>
      <c r="H44" t="inlineStr">
        <is>
          <t>Kyrkan</t>
        </is>
      </c>
      <c r="I44" t="n">
        <v>1.1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70802-2021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44537</v>
      </c>
      <c r="E45" s="1" t="n">
        <v>46322</v>
      </c>
      <c r="F45" t="inlineStr">
        <is>
          <t>SKÅNE LÄN</t>
        </is>
      </c>
      <c r="G45" t="inlineStr">
        <is>
          <t>ÖRKELLJUNGA</t>
        </is>
      </c>
      <c r="I45" t="n">
        <v>0.6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35533-2022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44799</v>
      </c>
      <c r="E46" s="1" t="n">
        <v>46322</v>
      </c>
      <c r="F46" t="inlineStr">
        <is>
          <t>SKÅNE LÄN</t>
        </is>
      </c>
      <c r="G46" t="inlineStr">
        <is>
          <t>ÖRKELLJUNGA</t>
        </is>
      </c>
      <c r="H46" t="inlineStr">
        <is>
          <t>Kommuner</t>
        </is>
      </c>
      <c r="I46" t="n">
        <v>4.6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68082-2021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44526</v>
      </c>
      <c r="E47" s="1" t="n">
        <v>46322</v>
      </c>
      <c r="F47" t="inlineStr">
        <is>
          <t>SKÅNE LÄN</t>
        </is>
      </c>
      <c r="G47" t="inlineStr">
        <is>
          <t>ÖRKELLJUNGA</t>
        </is>
      </c>
      <c r="I47" t="n">
        <v>19.7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38556-2022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44813</v>
      </c>
      <c r="E48" s="1" t="n">
        <v>46322</v>
      </c>
      <c r="F48" t="inlineStr">
        <is>
          <t>SKÅNE LÄN</t>
        </is>
      </c>
      <c r="G48" t="inlineStr">
        <is>
          <t>ÖRKELLJUNGA</t>
        </is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71637-2021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44543</v>
      </c>
      <c r="E49" s="1" t="n">
        <v>46322</v>
      </c>
      <c r="F49" t="inlineStr">
        <is>
          <t>SKÅNE LÄN</t>
        </is>
      </c>
      <c r="G49" t="inlineStr">
        <is>
          <t>ÖRKELLJUNGA</t>
        </is>
      </c>
      <c r="I49" t="n">
        <v>0.9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12139-2022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44636</v>
      </c>
      <c r="E50" s="1" t="n">
        <v>46322</v>
      </c>
      <c r="F50" t="inlineStr">
        <is>
          <t>SKÅNE LÄN</t>
        </is>
      </c>
      <c r="G50" t="inlineStr">
        <is>
          <t>ÖRKELLJUNGA</t>
        </is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45063-2022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44841</v>
      </c>
      <c r="E51" s="1" t="n">
        <v>46322</v>
      </c>
      <c r="F51" t="inlineStr">
        <is>
          <t>SKÅNE LÄN</t>
        </is>
      </c>
      <c r="G51" t="inlineStr">
        <is>
          <t>ÖRKELLJUNGA</t>
        </is>
      </c>
      <c r="I51" t="n">
        <v>0.8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7915-2025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45707</v>
      </c>
      <c r="E52" s="1" t="n">
        <v>46322</v>
      </c>
      <c r="F52" t="inlineStr">
        <is>
          <t>SKÅNE LÄN</t>
        </is>
      </c>
      <c r="G52" t="inlineStr">
        <is>
          <t>ÖRKELLJUNGA</t>
        </is>
      </c>
      <c r="I52" t="n">
        <v>1.9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29335-2022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44752</v>
      </c>
      <c r="E53" s="1" t="n">
        <v>46322</v>
      </c>
      <c r="F53" t="inlineStr">
        <is>
          <t>SKÅNE LÄN</t>
        </is>
      </c>
      <c r="G53" t="inlineStr">
        <is>
          <t>ÖRKELLJUNGA</t>
        </is>
      </c>
      <c r="H53" t="inlineStr">
        <is>
          <t>Kommuner</t>
        </is>
      </c>
      <c r="I53" t="n">
        <v>1.2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44882-2022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44841</v>
      </c>
      <c r="E54" s="1" t="n">
        <v>46322</v>
      </c>
      <c r="F54" t="inlineStr">
        <is>
          <t>SKÅNE LÄN</t>
        </is>
      </c>
      <c r="G54" t="inlineStr">
        <is>
          <t>ÖRKELLJUNGA</t>
        </is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56460-2023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45243</v>
      </c>
      <c r="E55" s="1" t="n">
        <v>46322</v>
      </c>
      <c r="F55" t="inlineStr">
        <is>
          <t>SKÅNE LÄN</t>
        </is>
      </c>
      <c r="G55" t="inlineStr">
        <is>
          <t>ÖRKELLJUNGA</t>
        </is>
      </c>
      <c r="I55" t="n">
        <v>5.3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1783-2025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45671</v>
      </c>
      <c r="E56" s="1" t="n">
        <v>46322</v>
      </c>
      <c r="F56" t="inlineStr">
        <is>
          <t>SKÅNE LÄN</t>
        </is>
      </c>
      <c r="G56" t="inlineStr">
        <is>
          <t>ÖRKELLJUNGA</t>
        </is>
      </c>
      <c r="I56" t="n">
        <v>0.7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6020-2022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44599</v>
      </c>
      <c r="E57" s="1" t="n">
        <v>46322</v>
      </c>
      <c r="F57" t="inlineStr">
        <is>
          <t>SKÅNE LÄN</t>
        </is>
      </c>
      <c r="G57" t="inlineStr">
        <is>
          <t>ÖRKELLJUNGA</t>
        </is>
      </c>
      <c r="I57" t="n">
        <v>1.4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26178-2023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45091</v>
      </c>
      <c r="E58" s="1" t="n">
        <v>46322</v>
      </c>
      <c r="F58" t="inlineStr">
        <is>
          <t>SKÅNE LÄN</t>
        </is>
      </c>
      <c r="G58" t="inlineStr">
        <is>
          <t>ÖRKELLJUNGA</t>
        </is>
      </c>
      <c r="I58" t="n">
        <v>0.7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41912-2025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45903</v>
      </c>
      <c r="E59" s="1" t="n">
        <v>46322</v>
      </c>
      <c r="F59" t="inlineStr">
        <is>
          <t>SKÅNE LÄN</t>
        </is>
      </c>
      <c r="G59" t="inlineStr">
        <is>
          <t>ÖRKELLJUNGA</t>
        </is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31399-2025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45833</v>
      </c>
      <c r="E60" s="1" t="n">
        <v>46322</v>
      </c>
      <c r="F60" t="inlineStr">
        <is>
          <t>SKÅNE LÄN</t>
        </is>
      </c>
      <c r="G60" t="inlineStr">
        <is>
          <t>ÖRKELLJUNGA</t>
        </is>
      </c>
      <c r="I60" t="n">
        <v>1.8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41926-2025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45903</v>
      </c>
      <c r="E61" s="1" t="n">
        <v>46322</v>
      </c>
      <c r="F61" t="inlineStr">
        <is>
          <t>SKÅNE LÄN</t>
        </is>
      </c>
      <c r="G61" t="inlineStr">
        <is>
          <t>ÖRKELLJUNGA</t>
        </is>
      </c>
      <c r="I61" t="n">
        <v>0.5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51577-2023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45222</v>
      </c>
      <c r="E62" s="1" t="n">
        <v>46322</v>
      </c>
      <c r="F62" t="inlineStr">
        <is>
          <t>SKÅNE LÄN</t>
        </is>
      </c>
      <c r="G62" t="inlineStr">
        <is>
          <t>ÖRKELLJUNGA</t>
        </is>
      </c>
      <c r="I62" t="n">
        <v>1.8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63029-2023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45272</v>
      </c>
      <c r="E63" s="1" t="n">
        <v>46322</v>
      </c>
      <c r="F63" t="inlineStr">
        <is>
          <t>SKÅNE LÄN</t>
        </is>
      </c>
      <c r="G63" t="inlineStr">
        <is>
          <t>ÖRKELLJUNGA</t>
        </is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58284-2023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45250</v>
      </c>
      <c r="E64" s="1" t="n">
        <v>46322</v>
      </c>
      <c r="F64" t="inlineStr">
        <is>
          <t>SKÅNE LÄN</t>
        </is>
      </c>
      <c r="G64" t="inlineStr">
        <is>
          <t>ÖRKELLJUNGA</t>
        </is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42708-2025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45908</v>
      </c>
      <c r="E65" s="1" t="n">
        <v>46322</v>
      </c>
      <c r="F65" t="inlineStr">
        <is>
          <t>SKÅNE LÄN</t>
        </is>
      </c>
      <c r="G65" t="inlineStr">
        <is>
          <t>ÖRKELLJUNGA</t>
        </is>
      </c>
      <c r="I65" t="n">
        <v>0.3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42728-2025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45908</v>
      </c>
      <c r="E66" s="1" t="n">
        <v>46322</v>
      </c>
      <c r="F66" t="inlineStr">
        <is>
          <t>SKÅNE LÄN</t>
        </is>
      </c>
      <c r="G66" t="inlineStr">
        <is>
          <t>ÖRKELLJUNGA</t>
        </is>
      </c>
      <c r="I66" t="n">
        <v>0.9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19390-2023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45048</v>
      </c>
      <c r="E67" s="1" t="n">
        <v>46322</v>
      </c>
      <c r="F67" t="inlineStr">
        <is>
          <t>SKÅNE LÄN</t>
        </is>
      </c>
      <c r="G67" t="inlineStr">
        <is>
          <t>ÖRKELLJUNGA</t>
        </is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13797-2025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45737</v>
      </c>
      <c r="E68" s="1" t="n">
        <v>46322</v>
      </c>
      <c r="F68" t="inlineStr">
        <is>
          <t>SKÅNE LÄN</t>
        </is>
      </c>
      <c r="G68" t="inlineStr">
        <is>
          <t>ÖRKELLJUNGA</t>
        </is>
      </c>
      <c r="I68" t="n">
        <v>1.3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73830-2021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44552</v>
      </c>
      <c r="E69" s="1" t="n">
        <v>46322</v>
      </c>
      <c r="F69" t="inlineStr">
        <is>
          <t>SKÅNE LÄN</t>
        </is>
      </c>
      <c r="G69" t="inlineStr">
        <is>
          <t>ÖRKELLJUNGA</t>
        </is>
      </c>
      <c r="I69" t="n">
        <v>2.1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27497-2024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45474</v>
      </c>
      <c r="E70" s="1" t="n">
        <v>46322</v>
      </c>
      <c r="F70" t="inlineStr">
        <is>
          <t>SKÅNE LÄN</t>
        </is>
      </c>
      <c r="G70" t="inlineStr">
        <is>
          <t>ÖRKELLJUNGA</t>
        </is>
      </c>
      <c r="I70" t="n">
        <v>2.2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27146-2026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46188</v>
      </c>
      <c r="E71" s="1" t="n">
        <v>46322</v>
      </c>
      <c r="F71" t="inlineStr">
        <is>
          <t>SKÅNE LÄN</t>
        </is>
      </c>
      <c r="G71" t="inlineStr">
        <is>
          <t>ÖRKELLJUNGA</t>
        </is>
      </c>
      <c r="I71" t="n">
        <v>1.5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43990-2025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45915</v>
      </c>
      <c r="E72" s="1" t="n">
        <v>46322</v>
      </c>
      <c r="F72" t="inlineStr">
        <is>
          <t>SKÅNE LÄN</t>
        </is>
      </c>
      <c r="G72" t="inlineStr">
        <is>
          <t>ÖRKELLJUNGA</t>
        </is>
      </c>
      <c r="I72" t="n">
        <v>0.5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9748-2024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45362</v>
      </c>
      <c r="E73" s="1" t="n">
        <v>46322</v>
      </c>
      <c r="F73" t="inlineStr">
        <is>
          <t>SKÅNE LÄN</t>
        </is>
      </c>
      <c r="G73" t="inlineStr">
        <is>
          <t>ÖRKELLJUNGA</t>
        </is>
      </c>
      <c r="I73" t="n">
        <v>2.2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48966-2023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45209</v>
      </c>
      <c r="E74" s="1" t="n">
        <v>46322</v>
      </c>
      <c r="F74" t="inlineStr">
        <is>
          <t>SKÅNE LÄN</t>
        </is>
      </c>
      <c r="G74" t="inlineStr">
        <is>
          <t>ÖRKELLJUNGA</t>
        </is>
      </c>
      <c r="I74" t="n">
        <v>1.7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44814-2022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44841</v>
      </c>
      <c r="E75" s="1" t="n">
        <v>46322</v>
      </c>
      <c r="F75" t="inlineStr">
        <is>
          <t>SKÅNE LÄN</t>
        </is>
      </c>
      <c r="G75" t="inlineStr">
        <is>
          <t>ÖRKELLJUNGA</t>
        </is>
      </c>
      <c r="I75" t="n">
        <v>5.2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2405-2025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45674</v>
      </c>
      <c r="E76" s="1" t="n">
        <v>46322</v>
      </c>
      <c r="F76" t="inlineStr">
        <is>
          <t>SKÅNE LÄN</t>
        </is>
      </c>
      <c r="G76" t="inlineStr">
        <is>
          <t>ÖRKELLJUNGA</t>
        </is>
      </c>
      <c r="I76" t="n">
        <v>1.2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44897-2025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45918</v>
      </c>
      <c r="E77" s="1" t="n">
        <v>46322</v>
      </c>
      <c r="F77" t="inlineStr">
        <is>
          <t>SKÅNE LÄN</t>
        </is>
      </c>
      <c r="G77" t="inlineStr">
        <is>
          <t>ÖRKELLJUNGA</t>
        </is>
      </c>
      <c r="I77" t="n">
        <v>2.6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44890-2025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45918</v>
      </c>
      <c r="E78" s="1" t="n">
        <v>46322</v>
      </c>
      <c r="F78" t="inlineStr">
        <is>
          <t>SKÅNE LÄN</t>
        </is>
      </c>
      <c r="G78" t="inlineStr">
        <is>
          <t>ÖRKELLJUNGA</t>
        </is>
      </c>
      <c r="I78" t="n">
        <v>4.7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27540-2024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45474</v>
      </c>
      <c r="E79" s="1" t="n">
        <v>46322</v>
      </c>
      <c r="F79" t="inlineStr">
        <is>
          <t>SKÅNE LÄN</t>
        </is>
      </c>
      <c r="G79" t="inlineStr">
        <is>
          <t>ÖRKELLJUNGA</t>
        </is>
      </c>
      <c r="I79" t="n">
        <v>2.7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9773-2024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45362</v>
      </c>
      <c r="E80" s="1" t="n">
        <v>46322</v>
      </c>
      <c r="F80" t="inlineStr">
        <is>
          <t>SKÅNE LÄN</t>
        </is>
      </c>
      <c r="G80" t="inlineStr">
        <is>
          <t>ÖRKELLJUNGA</t>
        </is>
      </c>
      <c r="I80" t="n">
        <v>0.5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52876-2024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45610</v>
      </c>
      <c r="E81" s="1" t="n">
        <v>46322</v>
      </c>
      <c r="F81" t="inlineStr">
        <is>
          <t>SKÅNE LÄN</t>
        </is>
      </c>
      <c r="G81" t="inlineStr">
        <is>
          <t>ÖRKELLJUNGA</t>
        </is>
      </c>
      <c r="I81" t="n">
        <v>1.2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57795-2022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44897</v>
      </c>
      <c r="E82" s="1" t="n">
        <v>46322</v>
      </c>
      <c r="F82" t="inlineStr">
        <is>
          <t>SKÅNE LÄN</t>
        </is>
      </c>
      <c r="G82" t="inlineStr">
        <is>
          <t>ÖRKELLJUNGA</t>
        </is>
      </c>
      <c r="I82" t="n">
        <v>2.3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50279-2023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45216</v>
      </c>
      <c r="E83" s="1" t="n">
        <v>46322</v>
      </c>
      <c r="F83" t="inlineStr">
        <is>
          <t>SKÅNE LÄN</t>
        </is>
      </c>
      <c r="G83" t="inlineStr">
        <is>
          <t>ÖRKELLJUNGA</t>
        </is>
      </c>
      <c r="I83" t="n">
        <v>0.9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10379-2024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45365</v>
      </c>
      <c r="E84" s="1" t="n">
        <v>46322</v>
      </c>
      <c r="F84" t="inlineStr">
        <is>
          <t>SKÅNE LÄN</t>
        </is>
      </c>
      <c r="G84" t="inlineStr">
        <is>
          <t>ÖRKELLJUNGA</t>
        </is>
      </c>
      <c r="I84" t="n">
        <v>0.6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23740-2023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45077</v>
      </c>
      <c r="E85" s="1" t="n">
        <v>46322</v>
      </c>
      <c r="F85" t="inlineStr">
        <is>
          <t>SKÅNE LÄN</t>
        </is>
      </c>
      <c r="G85" t="inlineStr">
        <is>
          <t>ÖRKELLJUNGA</t>
        </is>
      </c>
      <c r="I85" t="n">
        <v>2.1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33796-2023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45133</v>
      </c>
      <c r="E86" s="1" t="n">
        <v>46322</v>
      </c>
      <c r="F86" t="inlineStr">
        <is>
          <t>SKÅNE LÄN</t>
        </is>
      </c>
      <c r="G86" t="inlineStr">
        <is>
          <t>ÖRKELLJUNGA</t>
        </is>
      </c>
      <c r="I86" t="n">
        <v>0.5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72261-2021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44545</v>
      </c>
      <c r="E87" s="1" t="n">
        <v>46322</v>
      </c>
      <c r="F87" t="inlineStr">
        <is>
          <t>SKÅNE LÄN</t>
        </is>
      </c>
      <c r="G87" t="inlineStr">
        <is>
          <t>ÖRKELLJUNGA</t>
        </is>
      </c>
      <c r="I87" t="n">
        <v>0.7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2090-2023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44939</v>
      </c>
      <c r="E88" s="1" t="n">
        <v>46322</v>
      </c>
      <c r="F88" t="inlineStr">
        <is>
          <t>SKÅNE LÄN</t>
        </is>
      </c>
      <c r="G88" t="inlineStr">
        <is>
          <t>ÖRKELLJUNGA</t>
        </is>
      </c>
      <c r="I88" t="n">
        <v>1.6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17737-2023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45037</v>
      </c>
      <c r="E89" s="1" t="n">
        <v>46322</v>
      </c>
      <c r="F89" t="inlineStr">
        <is>
          <t>SKÅNE LÄN</t>
        </is>
      </c>
      <c r="G89" t="inlineStr">
        <is>
          <t>ÖRKELLJUNGA</t>
        </is>
      </c>
      <c r="I89" t="n">
        <v>3.7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57161-2022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44895</v>
      </c>
      <c r="E90" s="1" t="n">
        <v>46322</v>
      </c>
      <c r="F90" t="inlineStr">
        <is>
          <t>SKÅNE LÄN</t>
        </is>
      </c>
      <c r="G90" t="inlineStr">
        <is>
          <t>ÖRKELLJUNGA</t>
        </is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9359-2025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45715</v>
      </c>
      <c r="E91" s="1" t="n">
        <v>46322</v>
      </c>
      <c r="F91" t="inlineStr">
        <is>
          <t>SKÅNE LÄN</t>
        </is>
      </c>
      <c r="G91" t="inlineStr">
        <is>
          <t>ÖRKELLJUNGA</t>
        </is>
      </c>
      <c r="I91" t="n">
        <v>0.4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2086-2023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44939</v>
      </c>
      <c r="E92" s="1" t="n">
        <v>46322</v>
      </c>
      <c r="F92" t="inlineStr">
        <is>
          <t>SKÅNE LÄN</t>
        </is>
      </c>
      <c r="G92" t="inlineStr">
        <is>
          <t>ÖRKELLJUNGA</t>
        </is>
      </c>
      <c r="I92" t="n">
        <v>2.5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50304-2023</t>
        </is>
      </c>
      <c r="B93" t="inlineStr">
        <is>
          <t>avverkningsanmälan</t>
        </is>
      </c>
      <c r="C93" t="inlineStr">
        <is>
          <t>Avverkning för annat ändamål</t>
        </is>
      </c>
      <c r="D93" s="1" t="n">
        <v>45209</v>
      </c>
      <c r="E93" s="1" t="n">
        <v>46322</v>
      </c>
      <c r="F93" t="inlineStr">
        <is>
          <t>SKÅNE LÄN</t>
        </is>
      </c>
      <c r="G93" t="inlineStr">
        <is>
          <t>ÖRKELLJUNGA</t>
        </is>
      </c>
      <c r="I93" t="n">
        <v>17.9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11126-2025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45723</v>
      </c>
      <c r="E94" s="1" t="n">
        <v>46322</v>
      </c>
      <c r="F94" t="inlineStr">
        <is>
          <t>SKÅNE LÄN</t>
        </is>
      </c>
      <c r="G94" t="inlineStr">
        <is>
          <t>ÖRKELLJUNGA</t>
        </is>
      </c>
      <c r="I94" t="n">
        <v>0.7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37620-2023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45159</v>
      </c>
      <c r="E95" s="1" t="n">
        <v>46322</v>
      </c>
      <c r="F95" t="inlineStr">
        <is>
          <t>SKÅNE LÄN</t>
        </is>
      </c>
      <c r="G95" t="inlineStr">
        <is>
          <t>ÖRKELLJUNGA</t>
        </is>
      </c>
      <c r="I95" t="n">
        <v>0.5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9695-2023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44984</v>
      </c>
      <c r="E96" s="1" t="n">
        <v>46322</v>
      </c>
      <c r="F96" t="inlineStr">
        <is>
          <t>SKÅNE LÄN</t>
        </is>
      </c>
      <c r="G96" t="inlineStr">
        <is>
          <t>ÖRKELLJUNGA</t>
        </is>
      </c>
      <c r="I96" t="n">
        <v>1.7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2399-2025</t>
        </is>
      </c>
      <c r="B97" t="inlineStr">
        <is>
          <t>avverkningsanmälan</t>
        </is>
      </c>
      <c r="C97" t="inlineStr">
        <is>
          <t>Avverkning för annat ändamål</t>
        </is>
      </c>
      <c r="D97" s="1" t="n">
        <v>45672</v>
      </c>
      <c r="E97" s="1" t="n">
        <v>46322</v>
      </c>
      <c r="F97" t="inlineStr">
        <is>
          <t>SKÅNE LÄN</t>
        </is>
      </c>
      <c r="G97" t="inlineStr">
        <is>
          <t>ÖRKELLJUNGA</t>
        </is>
      </c>
      <c r="I97" t="n">
        <v>1.9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22699-2024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45448</v>
      </c>
      <c r="E98" s="1" t="n">
        <v>46322</v>
      </c>
      <c r="F98" t="inlineStr">
        <is>
          <t>SKÅNE LÄN</t>
        </is>
      </c>
      <c r="G98" t="inlineStr">
        <is>
          <t>ÖRKELLJUNGA</t>
        </is>
      </c>
      <c r="I98" t="n">
        <v>0.4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44925-2025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45918</v>
      </c>
      <c r="E99" s="1" t="n">
        <v>46322</v>
      </c>
      <c r="F99" t="inlineStr">
        <is>
          <t>SKÅNE LÄN</t>
        </is>
      </c>
      <c r="G99" t="inlineStr">
        <is>
          <t>ÖRKELLJUNGA</t>
        </is>
      </c>
      <c r="I99" t="n">
        <v>0.6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47890-2022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44855</v>
      </c>
      <c r="E100" s="1" t="n">
        <v>46322</v>
      </c>
      <c r="F100" t="inlineStr">
        <is>
          <t>SKÅNE LÄN</t>
        </is>
      </c>
      <c r="G100" t="inlineStr">
        <is>
          <t>ÖRKELLJUNGA</t>
        </is>
      </c>
      <c r="I100" t="n">
        <v>1.2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36280-2025</t>
        </is>
      </c>
      <c r="B101" t="inlineStr">
        <is>
          <t>avverkningsanmälan</t>
        </is>
      </c>
      <c r="C101" t="inlineStr">
        <is>
          <t>Avverkning för annat ändamål</t>
        </is>
      </c>
      <c r="D101" s="1" t="n">
        <v>45867</v>
      </c>
      <c r="E101" s="1" t="n">
        <v>46322</v>
      </c>
      <c r="F101" t="inlineStr">
        <is>
          <t>SKÅNE LÄN</t>
        </is>
      </c>
      <c r="G101" t="inlineStr">
        <is>
          <t>ÖRKELLJUNGA</t>
        </is>
      </c>
      <c r="I101" t="n">
        <v>0.6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23898-2023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45078</v>
      </c>
      <c r="E102" s="1" t="n">
        <v>46322</v>
      </c>
      <c r="F102" t="inlineStr">
        <is>
          <t>SKÅNE LÄN</t>
        </is>
      </c>
      <c r="G102" t="inlineStr">
        <is>
          <t>ÖRKELLJUNGA</t>
        </is>
      </c>
      <c r="I102" t="n">
        <v>0.6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20492-2024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45435</v>
      </c>
      <c r="E103" s="1" t="n">
        <v>46322</v>
      </c>
      <c r="F103" t="inlineStr">
        <is>
          <t>SKÅNE LÄN</t>
        </is>
      </c>
      <c r="G103" t="inlineStr">
        <is>
          <t>ÖRKELLJUNGA</t>
        </is>
      </c>
      <c r="I103" t="n">
        <v>0.5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31704-2023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45117</v>
      </c>
      <c r="E104" s="1" t="n">
        <v>46322</v>
      </c>
      <c r="F104" t="inlineStr">
        <is>
          <t>SKÅNE LÄN</t>
        </is>
      </c>
      <c r="G104" t="inlineStr">
        <is>
          <t>ÖRKELLJUNGA</t>
        </is>
      </c>
      <c r="I104" t="n">
        <v>6.7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53142-2025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45958</v>
      </c>
      <c r="E105" s="1" t="n">
        <v>46322</v>
      </c>
      <c r="F105" t="inlineStr">
        <is>
          <t>SKÅNE LÄN</t>
        </is>
      </c>
      <c r="G105" t="inlineStr">
        <is>
          <t>ÖRKELLJUNGA</t>
        </is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14912-2024</t>
        </is>
      </c>
      <c r="B106" t="inlineStr">
        <is>
          <t>avverkningsanmälan</t>
        </is>
      </c>
      <c r="C106" t="inlineStr">
        <is>
          <t>Avverkning för annat ändamål</t>
        </is>
      </c>
      <c r="D106" s="1" t="n">
        <v>45398</v>
      </c>
      <c r="E106" s="1" t="n">
        <v>46322</v>
      </c>
      <c r="F106" t="inlineStr">
        <is>
          <t>SKÅNE LÄN</t>
        </is>
      </c>
      <c r="G106" t="inlineStr">
        <is>
          <t>ÖRKELLJUNGA</t>
        </is>
      </c>
      <c r="I106" t="n">
        <v>0.6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49362-2024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45595</v>
      </c>
      <c r="E107" s="1" t="n">
        <v>46322</v>
      </c>
      <c r="F107" t="inlineStr">
        <is>
          <t>SKÅNE LÄN</t>
        </is>
      </c>
      <c r="G107" t="inlineStr">
        <is>
          <t>ÖRKELLJUNGA</t>
        </is>
      </c>
      <c r="I107" t="n">
        <v>3.1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168-2025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45659</v>
      </c>
      <c r="E108" s="1" t="n">
        <v>46322</v>
      </c>
      <c r="F108" t="inlineStr">
        <is>
          <t>SKÅNE LÄN</t>
        </is>
      </c>
      <c r="G108" t="inlineStr">
        <is>
          <t>ÖRKELLJUNGA</t>
        </is>
      </c>
      <c r="I108" t="n">
        <v>6.9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54667-2023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45235</v>
      </c>
      <c r="E109" s="1" t="n">
        <v>46322</v>
      </c>
      <c r="F109" t="inlineStr">
        <is>
          <t>SKÅNE LÄN</t>
        </is>
      </c>
      <c r="G109" t="inlineStr">
        <is>
          <t>ÖRKELLJUNGA</t>
        </is>
      </c>
      <c r="I109" t="n">
        <v>0.7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25958-2023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45090</v>
      </c>
      <c r="E110" s="1" t="n">
        <v>46322</v>
      </c>
      <c r="F110" t="inlineStr">
        <is>
          <t>SKÅNE LÄN</t>
        </is>
      </c>
      <c r="G110" t="inlineStr">
        <is>
          <t>ÖRKELLJUNGA</t>
        </is>
      </c>
      <c r="I110" t="n">
        <v>2.1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56455-2025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45975</v>
      </c>
      <c r="E111" s="1" t="n">
        <v>46322</v>
      </c>
      <c r="F111" t="inlineStr">
        <is>
          <t>SKÅNE LÄN</t>
        </is>
      </c>
      <c r="G111" t="inlineStr">
        <is>
          <t>ÖRKELLJUNGA</t>
        </is>
      </c>
      <c r="I111" t="n">
        <v>0.4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27486-2024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45474</v>
      </c>
      <c r="E112" s="1" t="n">
        <v>46322</v>
      </c>
      <c r="F112" t="inlineStr">
        <is>
          <t>SKÅNE LÄN</t>
        </is>
      </c>
      <c r="G112" t="inlineStr">
        <is>
          <t>ÖRKELLJUNGA</t>
        </is>
      </c>
      <c r="I112" t="n">
        <v>2.2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22391-2024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45446</v>
      </c>
      <c r="E113" s="1" t="n">
        <v>46322</v>
      </c>
      <c r="F113" t="inlineStr">
        <is>
          <t>SKÅNE LÄN</t>
        </is>
      </c>
      <c r="G113" t="inlineStr">
        <is>
          <t>ÖRKELLJUNGA</t>
        </is>
      </c>
      <c r="I113" t="n">
        <v>3.3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57343-2025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45980</v>
      </c>
      <c r="E114" s="1" t="n">
        <v>46322</v>
      </c>
      <c r="F114" t="inlineStr">
        <is>
          <t>SKÅNE LÄN</t>
        </is>
      </c>
      <c r="G114" t="inlineStr">
        <is>
          <t>ÖRKELLJUNGA</t>
        </is>
      </c>
      <c r="I114" t="n">
        <v>0.7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25963-2023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45090</v>
      </c>
      <c r="E115" s="1" t="n">
        <v>46322</v>
      </c>
      <c r="F115" t="inlineStr">
        <is>
          <t>SKÅNE LÄN</t>
        </is>
      </c>
      <c r="G115" t="inlineStr">
        <is>
          <t>ÖRKELLJUNGA</t>
        </is>
      </c>
      <c r="I115" t="n">
        <v>4.8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11460-2025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45726</v>
      </c>
      <c r="E116" s="1" t="n">
        <v>46322</v>
      </c>
      <c r="F116" t="inlineStr">
        <is>
          <t>SKÅNE LÄN</t>
        </is>
      </c>
      <c r="G116" t="inlineStr">
        <is>
          <t>ÖRKELLJUNGA</t>
        </is>
      </c>
      <c r="I116" t="n">
        <v>1.5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57790-2025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45981</v>
      </c>
      <c r="E117" s="1" t="n">
        <v>46322</v>
      </c>
      <c r="F117" t="inlineStr">
        <is>
          <t>SKÅNE LÄN</t>
        </is>
      </c>
      <c r="G117" t="inlineStr">
        <is>
          <t>ÖRKELLJUNGA</t>
        </is>
      </c>
      <c r="I117" t="n">
        <v>0.8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17458-2023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45034</v>
      </c>
      <c r="E118" s="1" t="n">
        <v>46322</v>
      </c>
      <c r="F118" t="inlineStr">
        <is>
          <t>SKÅNE LÄN</t>
        </is>
      </c>
      <c r="G118" t="inlineStr">
        <is>
          <t>ÖRKELLJUNGA</t>
        </is>
      </c>
      <c r="I118" t="n">
        <v>1.5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54669-2023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45235</v>
      </c>
      <c r="E119" s="1" t="n">
        <v>46322</v>
      </c>
      <c r="F119" t="inlineStr">
        <is>
          <t>SKÅNE LÄN</t>
        </is>
      </c>
      <c r="G119" t="inlineStr">
        <is>
          <t>ÖRKELLJUNGA</t>
        </is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40814-2023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45171</v>
      </c>
      <c r="E120" s="1" t="n">
        <v>46322</v>
      </c>
      <c r="F120" t="inlineStr">
        <is>
          <t>SKÅNE LÄN</t>
        </is>
      </c>
      <c r="G120" t="inlineStr">
        <is>
          <t>ÖRKELLJUNGA</t>
        </is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32855-2023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45124</v>
      </c>
      <c r="E121" s="1" t="n">
        <v>46322</v>
      </c>
      <c r="F121" t="inlineStr">
        <is>
          <t>SKÅNE LÄN</t>
        </is>
      </c>
      <c r="G121" t="inlineStr">
        <is>
          <t>ÖRKELLJUNGA</t>
        </is>
      </c>
      <c r="I121" t="n">
        <v>2.4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1492-2024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45305</v>
      </c>
      <c r="E122" s="1" t="n">
        <v>46322</v>
      </c>
      <c r="F122" t="inlineStr">
        <is>
          <t>SKÅNE LÄN</t>
        </is>
      </c>
      <c r="G122" t="inlineStr">
        <is>
          <t>ÖRKELLJUNGA</t>
        </is>
      </c>
      <c r="I122" t="n">
        <v>3.2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1493-2024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45305</v>
      </c>
      <c r="E123" s="1" t="n">
        <v>46322</v>
      </c>
      <c r="F123" t="inlineStr">
        <is>
          <t>SKÅNE LÄN</t>
        </is>
      </c>
      <c r="G123" t="inlineStr">
        <is>
          <t>ÖRKELLJUNGA</t>
        </is>
      </c>
      <c r="I123" t="n">
        <v>1.1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21910-2024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45443</v>
      </c>
      <c r="E124" s="1" t="n">
        <v>46322</v>
      </c>
      <c r="F124" t="inlineStr">
        <is>
          <t>SKÅNE LÄN</t>
        </is>
      </c>
      <c r="G124" t="inlineStr">
        <is>
          <t>ÖRKELLJUNGA</t>
        </is>
      </c>
      <c r="I124" t="n">
        <v>1.4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23469-2025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45792</v>
      </c>
      <c r="E125" s="1" t="n">
        <v>46322</v>
      </c>
      <c r="F125" t="inlineStr">
        <is>
          <t>SKÅNE LÄN</t>
        </is>
      </c>
      <c r="G125" t="inlineStr">
        <is>
          <t>ÖRKELLJUNGA</t>
        </is>
      </c>
      <c r="I125" t="n">
        <v>0.5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57703-2022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44897</v>
      </c>
      <c r="E126" s="1" t="n">
        <v>46322</v>
      </c>
      <c r="F126" t="inlineStr">
        <is>
          <t>SKÅNE LÄN</t>
        </is>
      </c>
      <c r="G126" t="inlineStr">
        <is>
          <t>ÖRKELLJUNGA</t>
        </is>
      </c>
      <c r="I126" t="n">
        <v>0.8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26058-2024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45468</v>
      </c>
      <c r="E127" s="1" t="n">
        <v>46322</v>
      </c>
      <c r="F127" t="inlineStr">
        <is>
          <t>SKÅNE LÄN</t>
        </is>
      </c>
      <c r="G127" t="inlineStr">
        <is>
          <t>ÖRKELLJUNGA</t>
        </is>
      </c>
      <c r="I127" t="n">
        <v>0.5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63783-2023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45278</v>
      </c>
      <c r="E128" s="1" t="n">
        <v>46322</v>
      </c>
      <c r="F128" t="inlineStr">
        <is>
          <t>SKÅNE LÄN</t>
        </is>
      </c>
      <c r="G128" t="inlineStr">
        <is>
          <t>ÖRKELLJUNGA</t>
        </is>
      </c>
      <c r="I128" t="n">
        <v>0.8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1397-2023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44936</v>
      </c>
      <c r="E129" s="1" t="n">
        <v>46322</v>
      </c>
      <c r="F129" t="inlineStr">
        <is>
          <t>SKÅNE LÄN</t>
        </is>
      </c>
      <c r="G129" t="inlineStr">
        <is>
          <t>ÖRKELLJUNGA</t>
        </is>
      </c>
      <c r="I129" t="n">
        <v>0.5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25589-2025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45803</v>
      </c>
      <c r="E130" s="1" t="n">
        <v>46322</v>
      </c>
      <c r="F130" t="inlineStr">
        <is>
          <t>SKÅNE LÄN</t>
        </is>
      </c>
      <c r="G130" t="inlineStr">
        <is>
          <t>ÖRKELLJUNGA</t>
        </is>
      </c>
      <c r="I130" t="n">
        <v>0.5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36543-2022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44804</v>
      </c>
      <c r="E131" s="1" t="n">
        <v>46322</v>
      </c>
      <c r="F131" t="inlineStr">
        <is>
          <t>SKÅNE LÄN</t>
        </is>
      </c>
      <c r="G131" t="inlineStr">
        <is>
          <t>ÖRKELLJUNGA</t>
        </is>
      </c>
      <c r="I131" t="n">
        <v>0.9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13068-2023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45002</v>
      </c>
      <c r="E132" s="1" t="n">
        <v>46322</v>
      </c>
      <c r="F132" t="inlineStr">
        <is>
          <t>SKÅNE LÄN</t>
        </is>
      </c>
      <c r="G132" t="inlineStr">
        <is>
          <t>ÖRKELLJUNGA</t>
        </is>
      </c>
      <c r="I132" t="n">
        <v>1.5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60789-2025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45999</v>
      </c>
      <c r="E133" s="1" t="n">
        <v>46322</v>
      </c>
      <c r="F133" t="inlineStr">
        <is>
          <t>SKÅNE LÄN</t>
        </is>
      </c>
      <c r="G133" t="inlineStr">
        <is>
          <t>ÖRKELLJUNGA</t>
        </is>
      </c>
      <c r="I133" t="n">
        <v>2.9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5954-2025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45695</v>
      </c>
      <c r="E134" s="1" t="n">
        <v>46322</v>
      </c>
      <c r="F134" t="inlineStr">
        <is>
          <t>SKÅNE LÄN</t>
        </is>
      </c>
      <c r="G134" t="inlineStr">
        <is>
          <t>ÖRKELLJUNGA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26032-2025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45804</v>
      </c>
      <c r="E135" s="1" t="n">
        <v>46322</v>
      </c>
      <c r="F135" t="inlineStr">
        <is>
          <t>SKÅNE LÄN</t>
        </is>
      </c>
      <c r="G135" t="inlineStr">
        <is>
          <t>ÖRKELLJUNGA</t>
        </is>
      </c>
      <c r="I135" t="n">
        <v>0.5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26020-2025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45804</v>
      </c>
      <c r="E136" s="1" t="n">
        <v>46322</v>
      </c>
      <c r="F136" t="inlineStr">
        <is>
          <t>SKÅNE LÄN</t>
        </is>
      </c>
      <c r="G136" t="inlineStr">
        <is>
          <t>ÖRKELLJUNGA</t>
        </is>
      </c>
      <c r="I136" t="n">
        <v>1.6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19643-2024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45432</v>
      </c>
      <c r="E137" s="1" t="n">
        <v>46322</v>
      </c>
      <c r="F137" t="inlineStr">
        <is>
          <t>SKÅNE LÄN</t>
        </is>
      </c>
      <c r="G137" t="inlineStr">
        <is>
          <t>ÖRKELLJUNGA</t>
        </is>
      </c>
      <c r="H137" t="inlineStr">
        <is>
          <t>Kommuner</t>
        </is>
      </c>
      <c r="I137" t="n">
        <v>2.9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23692-2023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45077</v>
      </c>
      <c r="E138" s="1" t="n">
        <v>46322</v>
      </c>
      <c r="F138" t="inlineStr">
        <is>
          <t>SKÅNE LÄN</t>
        </is>
      </c>
      <c r="G138" t="inlineStr">
        <is>
          <t>ÖRKELLJUNGA</t>
        </is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27523-2025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45813</v>
      </c>
      <c r="E139" s="1" t="n">
        <v>46322</v>
      </c>
      <c r="F139" t="inlineStr">
        <is>
          <t>SKÅNE LÄN</t>
        </is>
      </c>
      <c r="G139" t="inlineStr">
        <is>
          <t>ÖRKELLJUNGA</t>
        </is>
      </c>
      <c r="I139" t="n">
        <v>0.8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37501-2024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45541</v>
      </c>
      <c r="E140" s="1" t="n">
        <v>46322</v>
      </c>
      <c r="F140" t="inlineStr">
        <is>
          <t>SKÅNE LÄN</t>
        </is>
      </c>
      <c r="G140" t="inlineStr">
        <is>
          <t>ÖRKELLJUNGA</t>
        </is>
      </c>
      <c r="I140" t="n">
        <v>0.5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44880-2022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44841</v>
      </c>
      <c r="E141" s="1" t="n">
        <v>46322</v>
      </c>
      <c r="F141" t="inlineStr">
        <is>
          <t>SKÅNE LÄN</t>
        </is>
      </c>
      <c r="G141" t="inlineStr">
        <is>
          <t>ÖRKELLJUNGA</t>
        </is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171-2025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45659</v>
      </c>
      <c r="E142" s="1" t="n">
        <v>46322</v>
      </c>
      <c r="F142" t="inlineStr">
        <is>
          <t>SKÅNE LÄN</t>
        </is>
      </c>
      <c r="G142" t="inlineStr">
        <is>
          <t>ÖRKELLJUNGA</t>
        </is>
      </c>
      <c r="I142" t="n">
        <v>2.1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15478-2025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45747</v>
      </c>
      <c r="E143" s="1" t="n">
        <v>46322</v>
      </c>
      <c r="F143" t="inlineStr">
        <is>
          <t>SKÅNE LÄN</t>
        </is>
      </c>
      <c r="G143" t="inlineStr">
        <is>
          <t>ÖRKELLJUNGA</t>
        </is>
      </c>
      <c r="I143" t="n">
        <v>1.7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21146-2022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44704</v>
      </c>
      <c r="E144" s="1" t="n">
        <v>46322</v>
      </c>
      <c r="F144" t="inlineStr">
        <is>
          <t>SKÅNE LÄN</t>
        </is>
      </c>
      <c r="G144" t="inlineStr">
        <is>
          <t>ÖRKELLJUNGA</t>
        </is>
      </c>
      <c r="I144" t="n">
        <v>7.4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28693-2025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45819</v>
      </c>
      <c r="E145" s="1" t="n">
        <v>46322</v>
      </c>
      <c r="F145" t="inlineStr">
        <is>
          <t>SKÅNE LÄN</t>
        </is>
      </c>
      <c r="G145" t="inlineStr">
        <is>
          <t>ÖRKELLJUNGA</t>
        </is>
      </c>
      <c r="I145" t="n">
        <v>1.6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9691-2023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44984</v>
      </c>
      <c r="E146" s="1" t="n">
        <v>46322</v>
      </c>
      <c r="F146" t="inlineStr">
        <is>
          <t>SKÅNE LÄN</t>
        </is>
      </c>
      <c r="G146" t="inlineStr">
        <is>
          <t>ÖRKELLJUNGA</t>
        </is>
      </c>
      <c r="I146" t="n">
        <v>0.7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29642-2025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45825</v>
      </c>
      <c r="E147" s="1" t="n">
        <v>46322</v>
      </c>
      <c r="F147" t="inlineStr">
        <is>
          <t>SKÅNE LÄN</t>
        </is>
      </c>
      <c r="G147" t="inlineStr">
        <is>
          <t>ÖRKELLJUNGA</t>
        </is>
      </c>
      <c r="I147" t="n">
        <v>1.9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17641-2023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45035</v>
      </c>
      <c r="E148" s="1" t="n">
        <v>46322</v>
      </c>
      <c r="F148" t="inlineStr">
        <is>
          <t>SKÅNE LÄN</t>
        </is>
      </c>
      <c r="G148" t="inlineStr">
        <is>
          <t>ÖRKELLJUNGA</t>
        </is>
      </c>
      <c r="I148" t="n">
        <v>7.3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12038-2025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45728</v>
      </c>
      <c r="E149" s="1" t="n">
        <v>46322</v>
      </c>
      <c r="F149" t="inlineStr">
        <is>
          <t>SKÅNE LÄN</t>
        </is>
      </c>
      <c r="G149" t="inlineStr">
        <is>
          <t>ÖRKELLJUNGA</t>
        </is>
      </c>
      <c r="I149" t="n">
        <v>1.6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52243-2025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45953</v>
      </c>
      <c r="E150" s="1" t="n">
        <v>46322</v>
      </c>
      <c r="F150" t="inlineStr">
        <is>
          <t>SKÅNE LÄN</t>
        </is>
      </c>
      <c r="G150" t="inlineStr">
        <is>
          <t>ÖRKELLJUNGA</t>
        </is>
      </c>
      <c r="I150" t="n">
        <v>4.6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53163-2025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45958</v>
      </c>
      <c r="E151" s="1" t="n">
        <v>46322</v>
      </c>
      <c r="F151" t="inlineStr">
        <is>
          <t>SKÅNE LÄN</t>
        </is>
      </c>
      <c r="G151" t="inlineStr">
        <is>
          <t>ÖRKELLJUNGA</t>
        </is>
      </c>
      <c r="I151" t="n">
        <v>3.7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52246-2025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45953</v>
      </c>
      <c r="E152" s="1" t="n">
        <v>46322</v>
      </c>
      <c r="F152" t="inlineStr">
        <is>
          <t>SKÅNE LÄN</t>
        </is>
      </c>
      <c r="G152" t="inlineStr">
        <is>
          <t>ÖRKELLJUNGA</t>
        </is>
      </c>
      <c r="I152" t="n">
        <v>0.8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17270-2025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45756</v>
      </c>
      <c r="E153" s="1" t="n">
        <v>46322</v>
      </c>
      <c r="F153" t="inlineStr">
        <is>
          <t>SKÅNE LÄN</t>
        </is>
      </c>
      <c r="G153" t="inlineStr">
        <is>
          <t>ÖRKELLJUNGA</t>
        </is>
      </c>
      <c r="I153" t="n">
        <v>0.7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39650-2023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45167</v>
      </c>
      <c r="E154" s="1" t="n">
        <v>46322</v>
      </c>
      <c r="F154" t="inlineStr">
        <is>
          <t>SKÅNE LÄN</t>
        </is>
      </c>
      <c r="G154" t="inlineStr">
        <is>
          <t>ÖRKELLJUNGA</t>
        </is>
      </c>
      <c r="I154" t="n">
        <v>3.2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32704-2025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45839</v>
      </c>
      <c r="E155" s="1" t="n">
        <v>46322</v>
      </c>
      <c r="F155" t="inlineStr">
        <is>
          <t>SKÅNE LÄN</t>
        </is>
      </c>
      <c r="G155" t="inlineStr">
        <is>
          <t>ÖRKELLJUNGA</t>
        </is>
      </c>
      <c r="I155" t="n">
        <v>0.9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24154-2023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45079</v>
      </c>
      <c r="E156" s="1" t="n">
        <v>46322</v>
      </c>
      <c r="F156" t="inlineStr">
        <is>
          <t>SKÅNE LÄN</t>
        </is>
      </c>
      <c r="G156" t="inlineStr">
        <is>
          <t>ÖRKELLJUNGA</t>
        </is>
      </c>
      <c r="I156" t="n">
        <v>1.8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65211-2021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44515</v>
      </c>
      <c r="E157" s="1" t="n">
        <v>46322</v>
      </c>
      <c r="F157" t="inlineStr">
        <is>
          <t>SKÅNE LÄN</t>
        </is>
      </c>
      <c r="G157" t="inlineStr">
        <is>
          <t>ÖRKELLJUNGA</t>
        </is>
      </c>
      <c r="I157" t="n">
        <v>4.9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1225-2026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46031</v>
      </c>
      <c r="E158" s="1" t="n">
        <v>46322</v>
      </c>
      <c r="F158" t="inlineStr">
        <is>
          <t>SKÅNE LÄN</t>
        </is>
      </c>
      <c r="G158" t="inlineStr">
        <is>
          <t>ÖRKELLJUNGA</t>
        </is>
      </c>
      <c r="I158" t="n">
        <v>5.6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24765-2023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45084</v>
      </c>
      <c r="E159" s="1" t="n">
        <v>46322</v>
      </c>
      <c r="F159" t="inlineStr">
        <is>
          <t>SKÅNE LÄN</t>
        </is>
      </c>
      <c r="G159" t="inlineStr">
        <is>
          <t>ÖRKELLJUNGA</t>
        </is>
      </c>
      <c r="I159" t="n">
        <v>1.5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2537-2026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46037</v>
      </c>
      <c r="E160" s="1" t="n">
        <v>46322</v>
      </c>
      <c r="F160" t="inlineStr">
        <is>
          <t>SKÅNE LÄN</t>
        </is>
      </c>
      <c r="G160" t="inlineStr">
        <is>
          <t>ÖRKELLJUNGA</t>
        </is>
      </c>
      <c r="I160" t="n">
        <v>2.9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18285-2025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45762</v>
      </c>
      <c r="E161" s="1" t="n">
        <v>46322</v>
      </c>
      <c r="F161" t="inlineStr">
        <is>
          <t>SKÅNE LÄN</t>
        </is>
      </c>
      <c r="G161" t="inlineStr">
        <is>
          <t>ÖRKELLJUNGA</t>
        </is>
      </c>
      <c r="I161" t="n">
        <v>1.2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29530-2026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46203</v>
      </c>
      <c r="E162" s="1" t="n">
        <v>46322</v>
      </c>
      <c r="F162" t="inlineStr">
        <is>
          <t>SKÅNE LÄN</t>
        </is>
      </c>
      <c r="G162" t="inlineStr">
        <is>
          <t>ÖRKELLJUNGA</t>
        </is>
      </c>
      <c r="I162" t="n">
        <v>1.9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61602-2024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45646</v>
      </c>
      <c r="E163" s="1" t="n">
        <v>46322</v>
      </c>
      <c r="F163" t="inlineStr">
        <is>
          <t>SKÅNE LÄN</t>
        </is>
      </c>
      <c r="G163" t="inlineStr">
        <is>
          <t>ÖRKELLJUNGA</t>
        </is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29528-2026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46203</v>
      </c>
      <c r="E164" s="1" t="n">
        <v>46322</v>
      </c>
      <c r="F164" t="inlineStr">
        <is>
          <t>SKÅNE LÄN</t>
        </is>
      </c>
      <c r="G164" t="inlineStr">
        <is>
          <t>ÖRKELLJUNGA</t>
        </is>
      </c>
      <c r="I164" t="n">
        <v>3.2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29529-2026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46203</v>
      </c>
      <c r="E165" s="1" t="n">
        <v>46322</v>
      </c>
      <c r="F165" t="inlineStr">
        <is>
          <t>SKÅNE LÄN</t>
        </is>
      </c>
      <c r="G165" t="inlineStr">
        <is>
          <t>ÖRKELLJUNGA</t>
        </is>
      </c>
      <c r="I165" t="n">
        <v>1.3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3934-2026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46043</v>
      </c>
      <c r="E166" s="1" t="n">
        <v>46322</v>
      </c>
      <c r="F166" t="inlineStr">
        <is>
          <t>SKÅNE LÄN</t>
        </is>
      </c>
      <c r="G166" t="inlineStr">
        <is>
          <t>ÖRKELLJUNGA</t>
        </is>
      </c>
      <c r="I166" t="n">
        <v>1.1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4989-2026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46049</v>
      </c>
      <c r="E167" s="1" t="n">
        <v>46322</v>
      </c>
      <c r="F167" t="inlineStr">
        <is>
          <t>SKÅNE LÄN</t>
        </is>
      </c>
      <c r="G167" t="inlineStr">
        <is>
          <t>ÖRKELLJUNGA</t>
        </is>
      </c>
      <c r="I167" t="n">
        <v>3.9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42177-2023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45178</v>
      </c>
      <c r="E168" s="1" t="n">
        <v>46322</v>
      </c>
      <c r="F168" t="inlineStr">
        <is>
          <t>SKÅNE LÄN</t>
        </is>
      </c>
      <c r="G168" t="inlineStr">
        <is>
          <t>ÖRKELLJUNGA</t>
        </is>
      </c>
      <c r="I168" t="n">
        <v>0.5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28221-2023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45099</v>
      </c>
      <c r="E169" s="1" t="n">
        <v>46322</v>
      </c>
      <c r="F169" t="inlineStr">
        <is>
          <t>SKÅNE LÄN</t>
        </is>
      </c>
      <c r="G169" t="inlineStr">
        <is>
          <t>ÖRKELLJUNGA</t>
        </is>
      </c>
      <c r="I169" t="n">
        <v>6.7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11605-2023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44994</v>
      </c>
      <c r="E170" s="1" t="n">
        <v>46322</v>
      </c>
      <c r="F170" t="inlineStr">
        <is>
          <t>SKÅNE LÄN</t>
        </is>
      </c>
      <c r="G170" t="inlineStr">
        <is>
          <t>ÖRKELLJUNGA</t>
        </is>
      </c>
      <c r="I170" t="n">
        <v>1.1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23693-2023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45077</v>
      </c>
      <c r="E171" s="1" t="n">
        <v>46322</v>
      </c>
      <c r="F171" t="inlineStr">
        <is>
          <t>SKÅNE LÄN</t>
        </is>
      </c>
      <c r="G171" t="inlineStr">
        <is>
          <t>ÖRKELLJUNGA</t>
        </is>
      </c>
      <c r="I171" t="n">
        <v>4.5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45192-2022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44844</v>
      </c>
      <c r="E172" s="1" t="n">
        <v>46322</v>
      </c>
      <c r="F172" t="inlineStr">
        <is>
          <t>SKÅNE LÄN</t>
        </is>
      </c>
      <c r="G172" t="inlineStr">
        <is>
          <t>ÖRKELLJUNGA</t>
        </is>
      </c>
      <c r="I172" t="n">
        <v>0.8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38897-2025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45887</v>
      </c>
      <c r="E173" s="1" t="n">
        <v>46322</v>
      </c>
      <c r="F173" t="inlineStr">
        <is>
          <t>SKÅNE LÄN</t>
        </is>
      </c>
      <c r="G173" t="inlineStr">
        <is>
          <t>ÖRKELLJUNGA</t>
        </is>
      </c>
      <c r="I173" t="n">
        <v>0.5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8024-2026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46063</v>
      </c>
      <c r="E174" s="1" t="n">
        <v>46322</v>
      </c>
      <c r="F174" t="inlineStr">
        <is>
          <t>SKÅNE LÄN</t>
        </is>
      </c>
      <c r="G174" t="inlineStr">
        <is>
          <t>ÖRKELLJUNGA</t>
        </is>
      </c>
      <c r="H174" t="inlineStr">
        <is>
          <t>Kommuner</t>
        </is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9105-2026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46069</v>
      </c>
      <c r="E175" s="1" t="n">
        <v>46322</v>
      </c>
      <c r="F175" t="inlineStr">
        <is>
          <t>SKÅNE LÄN</t>
        </is>
      </c>
      <c r="G175" t="inlineStr">
        <is>
          <t>ÖRKELLJUNGA</t>
        </is>
      </c>
      <c r="I175" t="n">
        <v>1.1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9127-2026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46069</v>
      </c>
      <c r="E176" s="1" t="n">
        <v>46322</v>
      </c>
      <c r="F176" t="inlineStr">
        <is>
          <t>SKÅNE LÄN</t>
        </is>
      </c>
      <c r="G176" t="inlineStr">
        <is>
          <t>ÖRKELLJUNGA</t>
        </is>
      </c>
      <c r="I176" t="n">
        <v>3.8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9125-2026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46069</v>
      </c>
      <c r="E177" s="1" t="n">
        <v>46322</v>
      </c>
      <c r="F177" t="inlineStr">
        <is>
          <t>SKÅNE LÄN</t>
        </is>
      </c>
      <c r="G177" t="inlineStr">
        <is>
          <t>ÖRKELLJUNGA</t>
        </is>
      </c>
      <c r="I177" t="n">
        <v>1.5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9292-2026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46070</v>
      </c>
      <c r="E178" s="1" t="n">
        <v>46322</v>
      </c>
      <c r="F178" t="inlineStr">
        <is>
          <t>SKÅNE LÄN</t>
        </is>
      </c>
      <c r="G178" t="inlineStr">
        <is>
          <t>ÖRKELLJUNGA</t>
        </is>
      </c>
      <c r="I178" t="n">
        <v>1.6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9573-2025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45715</v>
      </c>
      <c r="E179" s="1" t="n">
        <v>46322</v>
      </c>
      <c r="F179" t="inlineStr">
        <is>
          <t>SKÅNE LÄN</t>
        </is>
      </c>
      <c r="G179" t="inlineStr">
        <is>
          <t>ÖRKELLJUNGA</t>
        </is>
      </c>
      <c r="I179" t="n">
        <v>1.2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10473-2026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46077</v>
      </c>
      <c r="E180" s="1" t="n">
        <v>46322</v>
      </c>
      <c r="F180" t="inlineStr">
        <is>
          <t>SKÅNE LÄN</t>
        </is>
      </c>
      <c r="G180" t="inlineStr">
        <is>
          <t>ÖRKELLJUNGA</t>
        </is>
      </c>
      <c r="I180" t="n">
        <v>0.9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10466-2026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46077</v>
      </c>
      <c r="E181" s="1" t="n">
        <v>46322</v>
      </c>
      <c r="F181" t="inlineStr">
        <is>
          <t>SKÅNE LÄN</t>
        </is>
      </c>
      <c r="G181" t="inlineStr">
        <is>
          <t>ÖRKELLJUNGA</t>
        </is>
      </c>
      <c r="I181" t="n">
        <v>1.2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10480-2026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46077</v>
      </c>
      <c r="E182" s="1" t="n">
        <v>46322</v>
      </c>
      <c r="F182" t="inlineStr">
        <is>
          <t>SKÅNE LÄN</t>
        </is>
      </c>
      <c r="G182" t="inlineStr">
        <is>
          <t>ÖRKELLJUNGA</t>
        </is>
      </c>
      <c r="I182" t="n">
        <v>0.9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22975-2023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45072</v>
      </c>
      <c r="E183" s="1" t="n">
        <v>46322</v>
      </c>
      <c r="F183" t="inlineStr">
        <is>
          <t>SKÅNE LÄN</t>
        </is>
      </c>
      <c r="G183" t="inlineStr">
        <is>
          <t>ÖRKELLJUNGA</t>
        </is>
      </c>
      <c r="I183" t="n">
        <v>0.6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14430-2023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45012</v>
      </c>
      <c r="E184" s="1" t="n">
        <v>46322</v>
      </c>
      <c r="F184" t="inlineStr">
        <is>
          <t>SKÅNE LÄN</t>
        </is>
      </c>
      <c r="G184" t="inlineStr">
        <is>
          <t>ÖRKELLJUNGA</t>
        </is>
      </c>
      <c r="I184" t="n">
        <v>0.9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64091-2023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45279</v>
      </c>
      <c r="E185" s="1" t="n">
        <v>46322</v>
      </c>
      <c r="F185" t="inlineStr">
        <is>
          <t>SKÅNE LÄN</t>
        </is>
      </c>
      <c r="G185" t="inlineStr">
        <is>
          <t>ÖRKELLJUNGA</t>
        </is>
      </c>
      <c r="I185" t="n">
        <v>0.6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13283-2026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46093</v>
      </c>
      <c r="E186" s="1" t="n">
        <v>46322</v>
      </c>
      <c r="F186" t="inlineStr">
        <is>
          <t>SKÅNE LÄN</t>
        </is>
      </c>
      <c r="G186" t="inlineStr">
        <is>
          <t>ÖRKELLJUNGA</t>
        </is>
      </c>
      <c r="I186" t="n">
        <v>8.1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25962-2023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45090</v>
      </c>
      <c r="E187" s="1" t="n">
        <v>46322</v>
      </c>
      <c r="F187" t="inlineStr">
        <is>
          <t>SKÅNE LÄN</t>
        </is>
      </c>
      <c r="G187" t="inlineStr">
        <is>
          <t>ÖRKELLJUNGA</t>
        </is>
      </c>
      <c r="I187" t="n">
        <v>7.3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30136-2022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44757</v>
      </c>
      <c r="E188" s="1" t="n">
        <v>46322</v>
      </c>
      <c r="F188" t="inlineStr">
        <is>
          <t>SKÅNE LÄN</t>
        </is>
      </c>
      <c r="G188" t="inlineStr">
        <is>
          <t>ÖRKELLJUNGA</t>
        </is>
      </c>
      <c r="H188" t="inlineStr">
        <is>
          <t>Kyrkan</t>
        </is>
      </c>
      <c r="I188" t="n">
        <v>1.2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38214-2023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45161</v>
      </c>
      <c r="E189" s="1" t="n">
        <v>46322</v>
      </c>
      <c r="F189" t="inlineStr">
        <is>
          <t>SKÅNE LÄN</t>
        </is>
      </c>
      <c r="G189" t="inlineStr">
        <is>
          <t>ÖRKELLJUNGA</t>
        </is>
      </c>
      <c r="I189" t="n">
        <v>3.6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14734-2026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46101</v>
      </c>
      <c r="E190" s="1" t="n">
        <v>46322</v>
      </c>
      <c r="F190" t="inlineStr">
        <is>
          <t>SKÅNE LÄN</t>
        </is>
      </c>
      <c r="G190" t="inlineStr">
        <is>
          <t>ÖRKELLJUNGA</t>
        </is>
      </c>
      <c r="I190" t="n">
        <v>0.6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15240-2026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46105</v>
      </c>
      <c r="E191" s="1" t="n">
        <v>46322</v>
      </c>
      <c r="F191" t="inlineStr">
        <is>
          <t>SKÅNE LÄN</t>
        </is>
      </c>
      <c r="G191" t="inlineStr">
        <is>
          <t>ÖRKELLJUNGA</t>
        </is>
      </c>
      <c r="I191" t="n">
        <v>2.1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15236-2026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46105</v>
      </c>
      <c r="E192" s="1" t="n">
        <v>46322</v>
      </c>
      <c r="F192" t="inlineStr">
        <is>
          <t>SKÅNE LÄN</t>
        </is>
      </c>
      <c r="G192" t="inlineStr">
        <is>
          <t>ÖRKELLJUNGA</t>
        </is>
      </c>
      <c r="I192" t="n">
        <v>1.7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15108-2026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46105</v>
      </c>
      <c r="E193" s="1" t="n">
        <v>46322</v>
      </c>
      <c r="F193" t="inlineStr">
        <is>
          <t>SKÅNE LÄN</t>
        </is>
      </c>
      <c r="G193" t="inlineStr">
        <is>
          <t>ÖRKELLJUNGA</t>
        </is>
      </c>
      <c r="I193" t="n">
        <v>3.7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23739-2023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45077</v>
      </c>
      <c r="E194" s="1" t="n">
        <v>46322</v>
      </c>
      <c r="F194" t="inlineStr">
        <is>
          <t>SKÅNE LÄN</t>
        </is>
      </c>
      <c r="G194" t="inlineStr">
        <is>
          <t>ÖRKELLJUNGA</t>
        </is>
      </c>
      <c r="I194" t="n">
        <v>1.8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16363-2026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46111</v>
      </c>
      <c r="E195" s="1" t="n">
        <v>46322</v>
      </c>
      <c r="F195" t="inlineStr">
        <is>
          <t>SKÅNE LÄN</t>
        </is>
      </c>
      <c r="G195" t="inlineStr">
        <is>
          <t>ÖRKELLJUNGA</t>
        </is>
      </c>
      <c r="I195" t="n">
        <v>2.8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16283-2026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46111</v>
      </c>
      <c r="E196" s="1" t="n">
        <v>46322</v>
      </c>
      <c r="F196" t="inlineStr">
        <is>
          <t>SKÅNE LÄN</t>
        </is>
      </c>
      <c r="G196" t="inlineStr">
        <is>
          <t>ÖRKELLJUNGA</t>
        </is>
      </c>
      <c r="I196" t="n">
        <v>1.9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34591-2023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45140</v>
      </c>
      <c r="E197" s="1" t="n">
        <v>46322</v>
      </c>
      <c r="F197" t="inlineStr">
        <is>
          <t>SKÅNE LÄN</t>
        </is>
      </c>
      <c r="G197" t="inlineStr">
        <is>
          <t>ÖRKELLJUNGA</t>
        </is>
      </c>
      <c r="I197" t="n">
        <v>1.4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17608-2026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46121</v>
      </c>
      <c r="E198" s="1" t="n">
        <v>46322</v>
      </c>
      <c r="F198" t="inlineStr">
        <is>
          <t>SKÅNE LÄN</t>
        </is>
      </c>
      <c r="G198" t="inlineStr">
        <is>
          <t>ÖRKELLJUNGA</t>
        </is>
      </c>
      <c r="I198" t="n">
        <v>1.1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9559-2022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44617</v>
      </c>
      <c r="E199" s="1" t="n">
        <v>46322</v>
      </c>
      <c r="F199" t="inlineStr">
        <is>
          <t>SKÅNE LÄN</t>
        </is>
      </c>
      <c r="G199" t="inlineStr">
        <is>
          <t>ÖRKELLJUNGA</t>
        </is>
      </c>
      <c r="I199" t="n">
        <v>1.4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31925-2024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45510</v>
      </c>
      <c r="E200" s="1" t="n">
        <v>46322</v>
      </c>
      <c r="F200" t="inlineStr">
        <is>
          <t>SKÅNE LÄN</t>
        </is>
      </c>
      <c r="G200" t="inlineStr">
        <is>
          <t>ÖRKELLJUNGA</t>
        </is>
      </c>
      <c r="I200" t="n">
        <v>2.9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30638-2023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45112</v>
      </c>
      <c r="E201" s="1" t="n">
        <v>46322</v>
      </c>
      <c r="F201" t="inlineStr">
        <is>
          <t>SKÅNE LÄN</t>
        </is>
      </c>
      <c r="G201" t="inlineStr">
        <is>
          <t>ÖRKELLJUNGA</t>
        </is>
      </c>
      <c r="I201" t="n">
        <v>2.9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2088-2023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44939</v>
      </c>
      <c r="E202" s="1" t="n">
        <v>46322</v>
      </c>
      <c r="F202" t="inlineStr">
        <is>
          <t>SKÅNE LÄN</t>
        </is>
      </c>
      <c r="G202" t="inlineStr">
        <is>
          <t>ÖRKELLJUNGA</t>
        </is>
      </c>
      <c r="I202" t="n">
        <v>2.4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35490-2025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45855</v>
      </c>
      <c r="E203" s="1" t="n">
        <v>46322</v>
      </c>
      <c r="F203" t="inlineStr">
        <is>
          <t>SKÅNE LÄN</t>
        </is>
      </c>
      <c r="G203" t="inlineStr">
        <is>
          <t>ÖRKELLJUNGA</t>
        </is>
      </c>
      <c r="I203" t="n">
        <v>3.1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13611-2025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45736</v>
      </c>
      <c r="E204" s="1" t="n">
        <v>46322</v>
      </c>
      <c r="F204" t="inlineStr">
        <is>
          <t>SKÅNE LÄN</t>
        </is>
      </c>
      <c r="G204" t="inlineStr">
        <is>
          <t>ÖRKELLJUNGA</t>
        </is>
      </c>
      <c r="I204" t="n">
        <v>2.1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39212-2026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46287</v>
      </c>
      <c r="E205" s="1" t="n">
        <v>46322</v>
      </c>
      <c r="F205" t="inlineStr">
        <is>
          <t>SKÅNE LÄN</t>
        </is>
      </c>
      <c r="G205" t="inlineStr">
        <is>
          <t>ÖRKELLJUNGA</t>
        </is>
      </c>
      <c r="I205" t="n">
        <v>2.1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981-2023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44935</v>
      </c>
      <c r="E206" s="1" t="n">
        <v>46322</v>
      </c>
      <c r="F206" t="inlineStr">
        <is>
          <t>SKÅNE LÄN</t>
        </is>
      </c>
      <c r="G206" t="inlineStr">
        <is>
          <t>ÖRKELLJUNGA</t>
        </is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44864-2025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45918</v>
      </c>
      <c r="E207" s="1" t="n">
        <v>46322</v>
      </c>
      <c r="F207" t="inlineStr">
        <is>
          <t>SKÅNE LÄN</t>
        </is>
      </c>
      <c r="G207" t="inlineStr">
        <is>
          <t>ÖRKELLJUNGA</t>
        </is>
      </c>
      <c r="I207" t="n">
        <v>4.1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38954-2026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46282</v>
      </c>
      <c r="E208" s="1" t="n">
        <v>46322</v>
      </c>
      <c r="F208" t="inlineStr">
        <is>
          <t>SKÅNE LÄN</t>
        </is>
      </c>
      <c r="G208" t="inlineStr">
        <is>
          <t>ÖRKELLJUNGA</t>
        </is>
      </c>
      <c r="I208" t="n">
        <v>1.2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43992-2025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45915</v>
      </c>
      <c r="E209" s="1" t="n">
        <v>46322</v>
      </c>
      <c r="F209" t="inlineStr">
        <is>
          <t>SKÅNE LÄN</t>
        </is>
      </c>
      <c r="G209" t="inlineStr">
        <is>
          <t>ÖRKELLJUNGA</t>
        </is>
      </c>
      <c r="I209" t="n">
        <v>1.8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36838-2024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45538</v>
      </c>
      <c r="E210" s="1" t="n">
        <v>46322</v>
      </c>
      <c r="F210" t="inlineStr">
        <is>
          <t>SKÅNE LÄN</t>
        </is>
      </c>
      <c r="G210" t="inlineStr">
        <is>
          <t>ÖRKELLJUNGA</t>
        </is>
      </c>
      <c r="I210" t="n">
        <v>1.3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39228-2026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46287</v>
      </c>
      <c r="E211" s="1" t="n">
        <v>46322</v>
      </c>
      <c r="F211" t="inlineStr">
        <is>
          <t>SKÅNE LÄN</t>
        </is>
      </c>
      <c r="G211" t="inlineStr">
        <is>
          <t>ÖRKELLJUNGA</t>
        </is>
      </c>
      <c r="I211" t="n">
        <v>1.5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3205-2025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45679</v>
      </c>
      <c r="E212" s="1" t="n">
        <v>46322</v>
      </c>
      <c r="F212" t="inlineStr">
        <is>
          <t>SKÅNE LÄN</t>
        </is>
      </c>
      <c r="G212" t="inlineStr">
        <is>
          <t>ÖRKELLJUNGA</t>
        </is>
      </c>
      <c r="H212" t="inlineStr">
        <is>
          <t>Kyrkan</t>
        </is>
      </c>
      <c r="I212" t="n">
        <v>6.7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33180-2026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46245</v>
      </c>
      <c r="E213" s="1" t="n">
        <v>46322</v>
      </c>
      <c r="F213" t="inlineStr">
        <is>
          <t>SKÅNE LÄN</t>
        </is>
      </c>
      <c r="G213" t="inlineStr">
        <is>
          <t>ÖRKELLJUNGA</t>
        </is>
      </c>
      <c r="I213" t="n">
        <v>6.5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33182-2026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46245</v>
      </c>
      <c r="E214" s="1" t="n">
        <v>46322</v>
      </c>
      <c r="F214" t="inlineStr">
        <is>
          <t>SKÅNE LÄN</t>
        </is>
      </c>
      <c r="G214" t="inlineStr">
        <is>
          <t>ÖRKELLJUNGA</t>
        </is>
      </c>
      <c r="I214" t="n">
        <v>2.1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39448-2026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46288</v>
      </c>
      <c r="E215" s="1" t="n">
        <v>46322</v>
      </c>
      <c r="F215" t="inlineStr">
        <is>
          <t>SKÅNE LÄN</t>
        </is>
      </c>
      <c r="G215" t="inlineStr">
        <is>
          <t>ÖRKELLJUNGA</t>
        </is>
      </c>
      <c r="I215" t="n">
        <v>4.7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1904-2023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44939</v>
      </c>
      <c r="E216" s="1" t="n">
        <v>46322</v>
      </c>
      <c r="F216" t="inlineStr">
        <is>
          <t>SKÅNE LÄN</t>
        </is>
      </c>
      <c r="G216" t="inlineStr">
        <is>
          <t>ÖRKELLJUNGA</t>
        </is>
      </c>
      <c r="I216" t="n">
        <v>0.7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33183-2026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46245</v>
      </c>
      <c r="E217" s="1" t="n">
        <v>46322</v>
      </c>
      <c r="F217" t="inlineStr">
        <is>
          <t>SKÅNE LÄN</t>
        </is>
      </c>
      <c r="G217" t="inlineStr">
        <is>
          <t>ÖRKELLJUNGA</t>
        </is>
      </c>
      <c r="I217" t="n">
        <v>5.9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20671-2026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46141</v>
      </c>
      <c r="E218" s="1" t="n">
        <v>46322</v>
      </c>
      <c r="F218" t="inlineStr">
        <is>
          <t>SKÅNE LÄN</t>
        </is>
      </c>
      <c r="G218" t="inlineStr">
        <is>
          <t>ÖRKELLJUNGA</t>
        </is>
      </c>
      <c r="I218" t="n">
        <v>1.6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35168-2025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45852</v>
      </c>
      <c r="E219" s="1" t="n">
        <v>46322</v>
      </c>
      <c r="F219" t="inlineStr">
        <is>
          <t>SKÅNE LÄN</t>
        </is>
      </c>
      <c r="G219" t="inlineStr">
        <is>
          <t>ÖRKELLJUNGA</t>
        </is>
      </c>
      <c r="I219" t="n">
        <v>5.2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8204-2023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44971</v>
      </c>
      <c r="E220" s="1" t="n">
        <v>46322</v>
      </c>
      <c r="F220" t="inlineStr">
        <is>
          <t>SKÅNE LÄN</t>
        </is>
      </c>
      <c r="G220" t="inlineStr">
        <is>
          <t>ÖRKELLJUNGA</t>
        </is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11121-2025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45723</v>
      </c>
      <c r="E221" s="1" t="n">
        <v>46322</v>
      </c>
      <c r="F221" t="inlineStr">
        <is>
          <t>SKÅNE LÄN</t>
        </is>
      </c>
      <c r="G221" t="inlineStr">
        <is>
          <t>ÖRKELLJUNGA</t>
        </is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3830-2022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44587</v>
      </c>
      <c r="E222" s="1" t="n">
        <v>46322</v>
      </c>
      <c r="F222" t="inlineStr">
        <is>
          <t>SKÅNE LÄN</t>
        </is>
      </c>
      <c r="G222" t="inlineStr">
        <is>
          <t>ÖRKELLJUNGA</t>
        </is>
      </c>
      <c r="I222" t="n">
        <v>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21152-2022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44704</v>
      </c>
      <c r="E223" s="1" t="n">
        <v>46322</v>
      </c>
      <c r="F223" t="inlineStr">
        <is>
          <t>SKÅNE LÄN</t>
        </is>
      </c>
      <c r="G223" t="inlineStr">
        <is>
          <t>ÖRKELLJUNGA</t>
        </is>
      </c>
      <c r="I223" t="n">
        <v>2.8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58130-2022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44900</v>
      </c>
      <c r="E224" s="1" t="n">
        <v>46322</v>
      </c>
      <c r="F224" t="inlineStr">
        <is>
          <t>SKÅNE LÄN</t>
        </is>
      </c>
      <c r="G224" t="inlineStr">
        <is>
          <t>ÖRKELLJUNGA</t>
        </is>
      </c>
      <c r="I224" t="n">
        <v>23.2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40144-2026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46293</v>
      </c>
      <c r="E225" s="1" t="n">
        <v>46322</v>
      </c>
      <c r="F225" t="inlineStr">
        <is>
          <t>SKÅNE LÄN</t>
        </is>
      </c>
      <c r="G225" t="inlineStr">
        <is>
          <t>ÖRKELLJUNGA</t>
        </is>
      </c>
      <c r="I225" t="n">
        <v>1.6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39759-2026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46290</v>
      </c>
      <c r="E226" s="1" t="n">
        <v>46322</v>
      </c>
      <c r="F226" t="inlineStr">
        <is>
          <t>SKÅNE LÄN</t>
        </is>
      </c>
      <c r="G226" t="inlineStr">
        <is>
          <t>ÖRKELLJUNGA</t>
        </is>
      </c>
      <c r="I226" t="n">
        <v>0.8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2359-2023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44942</v>
      </c>
      <c r="E227" s="1" t="n">
        <v>46322</v>
      </c>
      <c r="F227" t="inlineStr">
        <is>
          <t>SKÅNE LÄN</t>
        </is>
      </c>
      <c r="G227" t="inlineStr">
        <is>
          <t>ÖRKELLJUNGA</t>
        </is>
      </c>
      <c r="I227" t="n">
        <v>1.5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22550-2026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46155</v>
      </c>
      <c r="E228" s="1" t="n">
        <v>46322</v>
      </c>
      <c r="F228" t="inlineStr">
        <is>
          <t>SKÅNE LÄN</t>
        </is>
      </c>
      <c r="G228" t="inlineStr">
        <is>
          <t>ÖRKELLJUNGA</t>
        </is>
      </c>
      <c r="I228" t="n">
        <v>1.1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55049-2023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45237</v>
      </c>
      <c r="E229" s="1" t="n">
        <v>46322</v>
      </c>
      <c r="F229" t="inlineStr">
        <is>
          <t>SKÅNE LÄN</t>
        </is>
      </c>
      <c r="G229" t="inlineStr">
        <is>
          <t>ÖRKELLJUNGA</t>
        </is>
      </c>
      <c r="I229" t="n">
        <v>0.5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15987-2025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45749</v>
      </c>
      <c r="E230" s="1" t="n">
        <v>46322</v>
      </c>
      <c r="F230" t="inlineStr">
        <is>
          <t>SKÅNE LÄN</t>
        </is>
      </c>
      <c r="G230" t="inlineStr">
        <is>
          <t>ÖRKELLJUNGA</t>
        </is>
      </c>
      <c r="I230" t="n">
        <v>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22552-2026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46155</v>
      </c>
      <c r="E231" s="1" t="n">
        <v>46322</v>
      </c>
      <c r="F231" t="inlineStr">
        <is>
          <t>SKÅNE LÄN</t>
        </is>
      </c>
      <c r="G231" t="inlineStr">
        <is>
          <t>ÖRKELLJUNGA</t>
        </is>
      </c>
      <c r="I231" t="n">
        <v>0.5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57208-2022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44895</v>
      </c>
      <c r="E232" s="1" t="n">
        <v>46322</v>
      </c>
      <c r="F232" t="inlineStr">
        <is>
          <t>SKÅNE LÄN</t>
        </is>
      </c>
      <c r="G232" t="inlineStr">
        <is>
          <t>ÖRKELLJUNGA</t>
        </is>
      </c>
      <c r="I232" t="n">
        <v>1.4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34631-2025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45848</v>
      </c>
      <c r="E233" s="1" t="n">
        <v>46322</v>
      </c>
      <c r="F233" t="inlineStr">
        <is>
          <t>SKÅNE LÄN</t>
        </is>
      </c>
      <c r="G233" t="inlineStr">
        <is>
          <t>ÖRKELLJUNGA</t>
        </is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37912-2026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46280</v>
      </c>
      <c r="E234" s="1" t="n">
        <v>46322</v>
      </c>
      <c r="F234" t="inlineStr">
        <is>
          <t>SKÅNE LÄN</t>
        </is>
      </c>
      <c r="G234" t="inlineStr">
        <is>
          <t>ÖRKELLJUNGA</t>
        </is>
      </c>
      <c r="I234" t="n">
        <v>1.5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3864-2023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44951</v>
      </c>
      <c r="E235" s="1" t="n">
        <v>46322</v>
      </c>
      <c r="F235" t="inlineStr">
        <is>
          <t>SKÅNE LÄN</t>
        </is>
      </c>
      <c r="G235" t="inlineStr">
        <is>
          <t>ÖRKELLJUNGA</t>
        </is>
      </c>
      <c r="I235" t="n">
        <v>6.2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25965-2023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45090</v>
      </c>
      <c r="E236" s="1" t="n">
        <v>46322</v>
      </c>
      <c r="F236" t="inlineStr">
        <is>
          <t>SKÅNE LÄN</t>
        </is>
      </c>
      <c r="G236" t="inlineStr">
        <is>
          <t>ÖRKELLJUNGA</t>
        </is>
      </c>
      <c r="I236" t="n">
        <v>2.5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38928-2024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45548</v>
      </c>
      <c r="E237" s="1" t="n">
        <v>46322</v>
      </c>
      <c r="F237" t="inlineStr">
        <is>
          <t>SKÅNE LÄN</t>
        </is>
      </c>
      <c r="G237" t="inlineStr">
        <is>
          <t>ÖRKELLJUNGA</t>
        </is>
      </c>
      <c r="I237" t="n">
        <v>2.5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7707-2024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45349</v>
      </c>
      <c r="E238" s="1" t="n">
        <v>46322</v>
      </c>
      <c r="F238" t="inlineStr">
        <is>
          <t>SKÅNE LÄN</t>
        </is>
      </c>
      <c r="G238" t="inlineStr">
        <is>
          <t>ÖRKELLJUNGA</t>
        </is>
      </c>
      <c r="I238" t="n">
        <v>0.7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14254-2023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45009</v>
      </c>
      <c r="E239" s="1" t="n">
        <v>46322</v>
      </c>
      <c r="F239" t="inlineStr">
        <is>
          <t>SKÅNE LÄN</t>
        </is>
      </c>
      <c r="G239" t="inlineStr">
        <is>
          <t>ÖRKELLJUNGA</t>
        </is>
      </c>
      <c r="I239" t="n">
        <v>0.5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53676-2025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45960</v>
      </c>
      <c r="E240" s="1" t="n">
        <v>46322</v>
      </c>
      <c r="F240" t="inlineStr">
        <is>
          <t>SKÅNE LÄN</t>
        </is>
      </c>
      <c r="G240" t="inlineStr">
        <is>
          <t>ÖRKELLJUNGA</t>
        </is>
      </c>
      <c r="I240" t="n">
        <v>1.5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44846-2025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45918</v>
      </c>
      <c r="E241" s="1" t="n">
        <v>46322</v>
      </c>
      <c r="F241" t="inlineStr">
        <is>
          <t>SKÅNE LÄN</t>
        </is>
      </c>
      <c r="G241" t="inlineStr">
        <is>
          <t>ÖRKELLJUNGA</t>
        </is>
      </c>
      <c r="I241" t="n">
        <v>3.4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38065-2026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46280</v>
      </c>
      <c r="E242" s="1" t="n">
        <v>46322</v>
      </c>
      <c r="F242" t="inlineStr">
        <is>
          <t>SKÅNE LÄN</t>
        </is>
      </c>
      <c r="G242" t="inlineStr">
        <is>
          <t>ÖRKELLJUNGA</t>
        </is>
      </c>
      <c r="I242" t="n">
        <v>2.2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25674-2026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46178</v>
      </c>
      <c r="E243" s="1" t="n">
        <v>46322</v>
      </c>
      <c r="F243" t="inlineStr">
        <is>
          <t>SKÅNE LÄN</t>
        </is>
      </c>
      <c r="G243" t="inlineStr">
        <is>
          <t>ÖRKELLJUNGA</t>
        </is>
      </c>
      <c r="I243" t="n">
        <v>1.8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25699-2026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46178</v>
      </c>
      <c r="E244" s="1" t="n">
        <v>46322</v>
      </c>
      <c r="F244" t="inlineStr">
        <is>
          <t>SKÅNE LÄN</t>
        </is>
      </c>
      <c r="G244" t="inlineStr">
        <is>
          <t>ÖRKELLJUNGA</t>
        </is>
      </c>
      <c r="I244" t="n">
        <v>1.1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25772-2026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46178</v>
      </c>
      <c r="E245" s="1" t="n">
        <v>46322</v>
      </c>
      <c r="F245" t="inlineStr">
        <is>
          <t>SKÅNE LÄN</t>
        </is>
      </c>
      <c r="G245" t="inlineStr">
        <is>
          <t>ÖRKELLJUNGA</t>
        </is>
      </c>
      <c r="I245" t="n">
        <v>2.5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25778-2026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46178</v>
      </c>
      <c r="E246" s="1" t="n">
        <v>46322</v>
      </c>
      <c r="F246" t="inlineStr">
        <is>
          <t>SKÅNE LÄN</t>
        </is>
      </c>
      <c r="G246" t="inlineStr">
        <is>
          <t>ÖRKELLJUNGA</t>
        </is>
      </c>
      <c r="I246" t="n">
        <v>1.8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25789-2026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46178</v>
      </c>
      <c r="E247" s="1" t="n">
        <v>46322</v>
      </c>
      <c r="F247" t="inlineStr">
        <is>
          <t>SKÅNE LÄN</t>
        </is>
      </c>
      <c r="G247" t="inlineStr">
        <is>
          <t>ÖRKELLJUNGA</t>
        </is>
      </c>
      <c r="I247" t="n">
        <v>4.1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25912-2026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46178</v>
      </c>
      <c r="E248" s="1" t="n">
        <v>46322</v>
      </c>
      <c r="F248" t="inlineStr">
        <is>
          <t>SKÅNE LÄN</t>
        </is>
      </c>
      <c r="G248" t="inlineStr">
        <is>
          <t>ÖRKELLJUNGA</t>
        </is>
      </c>
      <c r="I248" t="n">
        <v>0.5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25794-2026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46178</v>
      </c>
      <c r="E249" s="1" t="n">
        <v>46322</v>
      </c>
      <c r="F249" t="inlineStr">
        <is>
          <t>SKÅNE LÄN</t>
        </is>
      </c>
      <c r="G249" t="inlineStr">
        <is>
          <t>ÖRKELLJUNGA</t>
        </is>
      </c>
      <c r="I249" t="n">
        <v>1.7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25780-2026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46178</v>
      </c>
      <c r="E250" s="1" t="n">
        <v>46322</v>
      </c>
      <c r="F250" t="inlineStr">
        <is>
          <t>SKÅNE LÄN</t>
        </is>
      </c>
      <c r="G250" t="inlineStr">
        <is>
          <t>ÖRKELLJUNGA</t>
        </is>
      </c>
      <c r="I250" t="n">
        <v>2.1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25501-2026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46177</v>
      </c>
      <c r="E251" s="1" t="n">
        <v>46322</v>
      </c>
      <c r="F251" t="inlineStr">
        <is>
          <t>SKÅNE LÄN</t>
        </is>
      </c>
      <c r="G251" t="inlineStr">
        <is>
          <t>ÖRKELLJUNGA</t>
        </is>
      </c>
      <c r="I251" t="n">
        <v>1.6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47871-2022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44855</v>
      </c>
      <c r="E252" s="1" t="n">
        <v>46322</v>
      </c>
      <c r="F252" t="inlineStr">
        <is>
          <t>SKÅNE LÄN</t>
        </is>
      </c>
      <c r="G252" t="inlineStr">
        <is>
          <t>ÖRKELLJUNGA</t>
        </is>
      </c>
      <c r="I252" t="n">
        <v>2.6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26578-2026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46183</v>
      </c>
      <c r="E253" s="1" t="n">
        <v>46322</v>
      </c>
      <c r="F253" t="inlineStr">
        <is>
          <t>SKÅNE LÄN</t>
        </is>
      </c>
      <c r="G253" t="inlineStr">
        <is>
          <t>ÖRKELLJUNGA</t>
        </is>
      </c>
      <c r="I253" t="n">
        <v>2.4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26580-2026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46183</v>
      </c>
      <c r="E254" s="1" t="n">
        <v>46322</v>
      </c>
      <c r="F254" t="inlineStr">
        <is>
          <t>SKÅNE LÄN</t>
        </is>
      </c>
      <c r="G254" t="inlineStr">
        <is>
          <t>ÖRKELLJUNGA</t>
        </is>
      </c>
      <c r="I254" t="n">
        <v>1.3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26597-2026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46183</v>
      </c>
      <c r="E255" s="1" t="n">
        <v>46322</v>
      </c>
      <c r="F255" t="inlineStr">
        <is>
          <t>SKÅNE LÄN</t>
        </is>
      </c>
      <c r="G255" t="inlineStr">
        <is>
          <t>ÖRKELLJUNGA</t>
        </is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26564-2026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46183</v>
      </c>
      <c r="E256" s="1" t="n">
        <v>46322</v>
      </c>
      <c r="F256" t="inlineStr">
        <is>
          <t>SKÅNE LÄN</t>
        </is>
      </c>
      <c r="G256" t="inlineStr">
        <is>
          <t>ÖRKELLJUNGA</t>
        </is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40190-2022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44820</v>
      </c>
      <c r="E257" s="1" t="n">
        <v>46322</v>
      </c>
      <c r="F257" t="inlineStr">
        <is>
          <t>SKÅNE LÄN</t>
        </is>
      </c>
      <c r="G257" t="inlineStr">
        <is>
          <t>ÖRKELLJUNGA</t>
        </is>
      </c>
      <c r="I257" t="n">
        <v>1.5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26593-2026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46183</v>
      </c>
      <c r="E258" s="1" t="n">
        <v>46322</v>
      </c>
      <c r="F258" t="inlineStr">
        <is>
          <t>SKÅNE LÄN</t>
        </is>
      </c>
      <c r="G258" t="inlineStr">
        <is>
          <t>ÖRKELLJUNGA</t>
        </is>
      </c>
      <c r="I258" t="n">
        <v>1.6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26583-2026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46183</v>
      </c>
      <c r="E259" s="1" t="n">
        <v>46322</v>
      </c>
      <c r="F259" t="inlineStr">
        <is>
          <t>SKÅNE LÄN</t>
        </is>
      </c>
      <c r="G259" t="inlineStr">
        <is>
          <t>ÖRKELLJUNGA</t>
        </is>
      </c>
      <c r="I259" t="n">
        <v>8.199999999999999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26594-2026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46183</v>
      </c>
      <c r="E260" s="1" t="n">
        <v>46322</v>
      </c>
      <c r="F260" t="inlineStr">
        <is>
          <t>SKÅNE LÄN</t>
        </is>
      </c>
      <c r="G260" t="inlineStr">
        <is>
          <t>ÖRKELLJUNGA</t>
        </is>
      </c>
      <c r="I260" t="n">
        <v>1.2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26596-2026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46183</v>
      </c>
      <c r="E261" s="1" t="n">
        <v>46322</v>
      </c>
      <c r="F261" t="inlineStr">
        <is>
          <t>SKÅNE LÄN</t>
        </is>
      </c>
      <c r="G261" t="inlineStr">
        <is>
          <t>ÖRKELLJUNGA</t>
        </is>
      </c>
      <c r="I261" t="n">
        <v>1.2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28980-2026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46199</v>
      </c>
      <c r="E262" s="1" t="n">
        <v>46322</v>
      </c>
      <c r="F262" t="inlineStr">
        <is>
          <t>SKÅNE LÄN</t>
        </is>
      </c>
      <c r="G262" t="inlineStr">
        <is>
          <t>ÖRKELLJUNGA</t>
        </is>
      </c>
      <c r="I262" t="n">
        <v>4.5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29401-2026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46203</v>
      </c>
      <c r="E263" s="1" t="n">
        <v>46322</v>
      </c>
      <c r="F263" t="inlineStr">
        <is>
          <t>SKÅNE LÄN</t>
        </is>
      </c>
      <c r="G263" t="inlineStr">
        <is>
          <t>ÖRKELLJUNGA</t>
        </is>
      </c>
      <c r="I263" t="n">
        <v>2.3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25765-2026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46178</v>
      </c>
      <c r="E264" s="1" t="n">
        <v>46322</v>
      </c>
      <c r="F264" t="inlineStr">
        <is>
          <t>SKÅNE LÄN</t>
        </is>
      </c>
      <c r="G264" t="inlineStr">
        <is>
          <t>ÖRKELLJUNGA</t>
        </is>
      </c>
      <c r="I264" t="n">
        <v>2.4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41574-2026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46301</v>
      </c>
      <c r="E265" s="1" t="n">
        <v>46322</v>
      </c>
      <c r="F265" t="inlineStr">
        <is>
          <t>SKÅNE LÄN</t>
        </is>
      </c>
      <c r="G265" t="inlineStr">
        <is>
          <t>ÖRKELLJUNGA</t>
        </is>
      </c>
      <c r="I265" t="n">
        <v>1.8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34770-2026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46258</v>
      </c>
      <c r="E266" s="1" t="n">
        <v>46322</v>
      </c>
      <c r="F266" t="inlineStr">
        <is>
          <t>SKÅNE LÄN</t>
        </is>
      </c>
      <c r="G266" t="inlineStr">
        <is>
          <t>ÖRKELLJUNGA</t>
        </is>
      </c>
      <c r="I266" t="n">
        <v>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41453-2026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46301</v>
      </c>
      <c r="E267" s="1" t="n">
        <v>46322</v>
      </c>
      <c r="F267" t="inlineStr">
        <is>
          <t>SKÅNE LÄN</t>
        </is>
      </c>
      <c r="G267" t="inlineStr">
        <is>
          <t>ÖRKELLJUNGA</t>
        </is>
      </c>
      <c r="I267" t="n">
        <v>0.9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34919-2026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46259</v>
      </c>
      <c r="E268" s="1" t="n">
        <v>46322</v>
      </c>
      <c r="F268" t="inlineStr">
        <is>
          <t>SKÅNE LÄN</t>
        </is>
      </c>
      <c r="G268" t="inlineStr">
        <is>
          <t>ÖRKELLJUNGA</t>
        </is>
      </c>
      <c r="I268" t="n">
        <v>1.1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40017-2023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45168</v>
      </c>
      <c r="E269" s="1" t="n">
        <v>46322</v>
      </c>
      <c r="F269" t="inlineStr">
        <is>
          <t>SKÅNE LÄN</t>
        </is>
      </c>
      <c r="G269" t="inlineStr">
        <is>
          <t>ÖRKELLJUNGA</t>
        </is>
      </c>
      <c r="I269" t="n">
        <v>0.6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34279-2023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45138</v>
      </c>
      <c r="E270" s="1" t="n">
        <v>46322</v>
      </c>
      <c r="F270" t="inlineStr">
        <is>
          <t>SKÅNE LÄN</t>
        </is>
      </c>
      <c r="G270" t="inlineStr">
        <is>
          <t>ÖRKELLJUNGA</t>
        </is>
      </c>
      <c r="I270" t="n">
        <v>1.2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54661-2023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45235</v>
      </c>
      <c r="E271" s="1" t="n">
        <v>46322</v>
      </c>
      <c r="F271" t="inlineStr">
        <is>
          <t>SKÅNE LÄN</t>
        </is>
      </c>
      <c r="G271" t="inlineStr">
        <is>
          <t>ÖRKELLJUNGA</t>
        </is>
      </c>
      <c r="I271" t="n">
        <v>1.4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54646-2023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45235</v>
      </c>
      <c r="E272" s="1" t="n">
        <v>46322</v>
      </c>
      <c r="F272" t="inlineStr">
        <is>
          <t>SKÅNE LÄN</t>
        </is>
      </c>
      <c r="G272" t="inlineStr">
        <is>
          <t>ÖRKELLJUNGA</t>
        </is>
      </c>
      <c r="I272" t="n">
        <v>5.3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2092-2023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44939</v>
      </c>
      <c r="E273" s="1" t="n">
        <v>46322</v>
      </c>
      <c r="F273" t="inlineStr">
        <is>
          <t>SKÅNE LÄN</t>
        </is>
      </c>
      <c r="G273" t="inlineStr">
        <is>
          <t>ÖRKELLJUNGA</t>
        </is>
      </c>
      <c r="I273" t="n">
        <v>0.6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21023-2024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45439</v>
      </c>
      <c r="E274" s="1" t="n">
        <v>46322</v>
      </c>
      <c r="F274" t="inlineStr">
        <is>
          <t>SKÅNE LÄN</t>
        </is>
      </c>
      <c r="G274" t="inlineStr">
        <is>
          <t>ÖRKELLJUNGA</t>
        </is>
      </c>
      <c r="I274" t="n">
        <v>0.5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62180-2022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44915</v>
      </c>
      <c r="E275" s="1" t="n">
        <v>46322</v>
      </c>
      <c r="F275" t="inlineStr">
        <is>
          <t>SKÅNE LÄN</t>
        </is>
      </c>
      <c r="G275" t="inlineStr">
        <is>
          <t>ÖRKELLJUNGA</t>
        </is>
      </c>
      <c r="H275" t="inlineStr">
        <is>
          <t>Kyrkan</t>
        </is>
      </c>
      <c r="I275" t="n">
        <v>7.5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23990-2023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45078</v>
      </c>
      <c r="E276" s="1" t="n">
        <v>46322</v>
      </c>
      <c r="F276" t="inlineStr">
        <is>
          <t>SKÅNE LÄN</t>
        </is>
      </c>
      <c r="G276" t="inlineStr">
        <is>
          <t>ÖRKELLJUNGA</t>
        </is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35988-2026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46266</v>
      </c>
      <c r="E277" s="1" t="n">
        <v>46322</v>
      </c>
      <c r="F277" t="inlineStr">
        <is>
          <t>SKÅNE LÄN</t>
        </is>
      </c>
      <c r="G277" t="inlineStr">
        <is>
          <t>ÖRKELLJUNGA</t>
        </is>
      </c>
      <c r="I277" t="n">
        <v>5.8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1935-2024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45308</v>
      </c>
      <c r="E278" s="1" t="n">
        <v>46322</v>
      </c>
      <c r="F278" t="inlineStr">
        <is>
          <t>SKÅNE LÄN</t>
        </is>
      </c>
      <c r="G278" t="inlineStr">
        <is>
          <t>ÖRKELLJUNGA</t>
        </is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22406-2024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45446</v>
      </c>
      <c r="E279" s="1" t="n">
        <v>46322</v>
      </c>
      <c r="F279" t="inlineStr">
        <is>
          <t>SKÅNE LÄN</t>
        </is>
      </c>
      <c r="G279" t="inlineStr">
        <is>
          <t>ÖRKELLJUNGA</t>
        </is>
      </c>
      <c r="I279" t="n">
        <v>0.7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26179-2023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45091</v>
      </c>
      <c r="E280" s="1" t="n">
        <v>46322</v>
      </c>
      <c r="F280" t="inlineStr">
        <is>
          <t>SKÅNE LÄN</t>
        </is>
      </c>
      <c r="G280" t="inlineStr">
        <is>
          <t>ÖRKELLJUNGA</t>
        </is>
      </c>
      <c r="I280" t="n">
        <v>0.7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27967-2024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45476</v>
      </c>
      <c r="E281" s="1" t="n">
        <v>46322</v>
      </c>
      <c r="F281" t="inlineStr">
        <is>
          <t>SKÅNE LÄN</t>
        </is>
      </c>
      <c r="G281" t="inlineStr">
        <is>
          <t>ÖRKELLJUNGA</t>
        </is>
      </c>
      <c r="I281" t="n">
        <v>0.4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26837-2022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44740</v>
      </c>
      <c r="E282" s="1" t="n">
        <v>46322</v>
      </c>
      <c r="F282" t="inlineStr">
        <is>
          <t>SKÅNE LÄN</t>
        </is>
      </c>
      <c r="G282" t="inlineStr">
        <is>
          <t>ÖRKELLJUNGA</t>
        </is>
      </c>
      <c r="I282" t="n">
        <v>1.7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25967-2023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45090</v>
      </c>
      <c r="E283" s="1" t="n">
        <v>46322</v>
      </c>
      <c r="F283" t="inlineStr">
        <is>
          <t>SKÅNE LÄN</t>
        </is>
      </c>
      <c r="G283" t="inlineStr">
        <is>
          <t>ÖRKELLJUNGA</t>
        </is>
      </c>
      <c r="I283" t="n">
        <v>4.9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29334-2022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44752</v>
      </c>
      <c r="E284" s="1" t="n">
        <v>46322</v>
      </c>
      <c r="F284" t="inlineStr">
        <is>
          <t>SKÅNE LÄN</t>
        </is>
      </c>
      <c r="G284" t="inlineStr">
        <is>
          <t>ÖRKELLJUNGA</t>
        </is>
      </c>
      <c r="H284" t="inlineStr">
        <is>
          <t>Kommuner</t>
        </is>
      </c>
      <c r="I284" t="n">
        <v>2.8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5941-2025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45695</v>
      </c>
      <c r="E285" s="1" t="n">
        <v>46322</v>
      </c>
      <c r="F285" t="inlineStr">
        <is>
          <t>SKÅNE LÄN</t>
        </is>
      </c>
      <c r="G285" t="inlineStr">
        <is>
          <t>ÖRKELLJUNGA</t>
        </is>
      </c>
      <c r="I285" t="n">
        <v>0.6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37517-2026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46276</v>
      </c>
      <c r="E286" s="1" t="n">
        <v>46322</v>
      </c>
      <c r="F286" t="inlineStr">
        <is>
          <t>SKÅNE LÄN</t>
        </is>
      </c>
      <c r="G286" t="inlineStr">
        <is>
          <t>ÖRKELLJUNGA</t>
        </is>
      </c>
      <c r="I286" t="n">
        <v>2.1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S 1016-2020</t>
        </is>
      </c>
      <c r="B287" t="inlineStr">
        <is>
          <t>samrådsanmälan</t>
        </is>
      </c>
      <c r="C287" t="inlineStr">
        <is>
          <t>Åtgärd i nyckelbiotop</t>
        </is>
      </c>
      <c r="D287" s="1" t="n">
        <v>43957</v>
      </c>
      <c r="E287" s="1" t="n">
        <v>46322</v>
      </c>
      <c r="F287" t="inlineStr">
        <is>
          <t>SKÅNE LÄN</t>
        </is>
      </c>
      <c r="G287" t="inlineStr">
        <is>
          <t>ÖRKELLJUNGA</t>
        </is>
      </c>
      <c r="I287" t="n">
        <v>1.4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S 2857-2024</t>
        </is>
      </c>
      <c r="B288" t="inlineStr">
        <is>
          <t>samrådsanmälan</t>
        </is>
      </c>
      <c r="C288" t="inlineStr">
        <is>
          <t>Annan skogsbruksåtgärd</t>
        </is>
      </c>
      <c r="D288" s="1" t="n">
        <v>45496</v>
      </c>
      <c r="E288" s="1" t="n">
        <v>46322</v>
      </c>
      <c r="F288" t="inlineStr">
        <is>
          <t>SKÅNE LÄN</t>
        </is>
      </c>
      <c r="G288" t="inlineStr">
        <is>
          <t>ÖRKELLJUNGA</t>
        </is>
      </c>
      <c r="I288" t="n">
        <v>2.5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S 9957-2021</t>
        </is>
      </c>
      <c r="B289" t="inlineStr">
        <is>
          <t>samrådsanmälan</t>
        </is>
      </c>
      <c r="C289" t="inlineStr">
        <is>
          <t>Askåterföring</t>
        </is>
      </c>
      <c r="D289" s="1" t="n">
        <v>44536</v>
      </c>
      <c r="E289" s="1" t="n">
        <v>46322</v>
      </c>
      <c r="F289" t="inlineStr">
        <is>
          <t>SKÅNE LÄN</t>
        </is>
      </c>
      <c r="G289" t="inlineStr">
        <is>
          <t>ÖRKELLJUNGA</t>
        </is>
      </c>
      <c r="I289" t="n">
        <v>26.1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S 455-2023</t>
        </is>
      </c>
      <c r="B290" t="inlineStr">
        <is>
          <t>samrådsanmälan</t>
        </is>
      </c>
      <c r="C290" t="inlineStr">
        <is>
          <t>Askåterföring</t>
        </is>
      </c>
      <c r="D290" s="1" t="n">
        <v>44959</v>
      </c>
      <c r="E290" s="1" t="n">
        <v>46322</v>
      </c>
      <c r="F290" t="inlineStr">
        <is>
          <t>SKÅNE LÄN</t>
        </is>
      </c>
      <c r="G290" t="inlineStr">
        <is>
          <t>ÖRKELLJUNGA</t>
        </is>
      </c>
      <c r="I290" t="n">
        <v>14.9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S 5219-2022</t>
        </is>
      </c>
      <c r="B291" t="inlineStr">
        <is>
          <t>samrådsanmälan</t>
        </is>
      </c>
      <c r="C291" t="inlineStr">
        <is>
          <t>Askåterföring</t>
        </is>
      </c>
      <c r="D291" s="1" t="n">
        <v>44820</v>
      </c>
      <c r="E291" s="1" t="n">
        <v>46322</v>
      </c>
      <c r="F291" t="inlineStr">
        <is>
          <t>SKÅNE LÄN</t>
        </is>
      </c>
      <c r="G291" t="inlineStr">
        <is>
          <t>ÖRKELLJUNGA</t>
        </is>
      </c>
      <c r="I291" t="n">
        <v>22.7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S 2907-2024</t>
        </is>
      </c>
      <c r="B292" t="inlineStr">
        <is>
          <t>samrådsanmälan</t>
        </is>
      </c>
      <c r="C292" t="inlineStr">
        <is>
          <t>Askåterföring</t>
        </is>
      </c>
      <c r="D292" s="1" t="n">
        <v>45503</v>
      </c>
      <c r="E292" s="1" t="n">
        <v>46322</v>
      </c>
      <c r="F292" t="inlineStr">
        <is>
          <t>SKÅNE LÄN</t>
        </is>
      </c>
      <c r="G292" t="inlineStr">
        <is>
          <t>ÖRKELLJUNGA</t>
        </is>
      </c>
      <c r="I292" t="n">
        <v>72.5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S 1259-2022</t>
        </is>
      </c>
      <c r="B293" t="inlineStr">
        <is>
          <t>samrådsanmälan</t>
        </is>
      </c>
      <c r="C293" t="inlineStr">
        <is>
          <t>Skogsbilväg</t>
        </is>
      </c>
      <c r="D293" s="1" t="n">
        <v>44627</v>
      </c>
      <c r="E293" s="1" t="n">
        <v>46322</v>
      </c>
      <c r="F293" t="inlineStr">
        <is>
          <t>SKÅNE LÄN</t>
        </is>
      </c>
      <c r="G293" t="inlineStr">
        <is>
          <t>ÖRKELLJUNGA</t>
        </is>
      </c>
      <c r="I293" t="n">
        <v>0.7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S 4069-2022</t>
        </is>
      </c>
      <c r="B294" t="inlineStr">
        <is>
          <t>samrådsanmälan</t>
        </is>
      </c>
      <c r="C294" t="inlineStr">
        <is>
          <t>Askåterföring</t>
        </is>
      </c>
      <c r="D294" s="1" t="n">
        <v>44757</v>
      </c>
      <c r="E294" s="1" t="n">
        <v>46322</v>
      </c>
      <c r="F294" t="inlineStr">
        <is>
          <t>SKÅNE LÄN</t>
        </is>
      </c>
      <c r="G294" t="inlineStr">
        <is>
          <t>ÖRKELLJUNGA</t>
        </is>
      </c>
      <c r="I294" t="n">
        <v>24.7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S 1070-2022</t>
        </is>
      </c>
      <c r="B295" t="inlineStr">
        <is>
          <t>samrådsanmälan</t>
        </is>
      </c>
      <c r="C295" t="inlineStr">
        <is>
          <t>Askåterföring</t>
        </is>
      </c>
      <c r="D295" s="1" t="n">
        <v>44613</v>
      </c>
      <c r="E295" s="1" t="n">
        <v>46322</v>
      </c>
      <c r="F295" t="inlineStr">
        <is>
          <t>SKÅNE LÄN</t>
        </is>
      </c>
      <c r="G295" t="inlineStr">
        <is>
          <t>ÖRKELLJUNGA</t>
        </is>
      </c>
      <c r="I295" t="n">
        <v>46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S 2756-2024</t>
        </is>
      </c>
      <c r="B296" t="inlineStr">
        <is>
          <t>samrådsanmälan</t>
        </is>
      </c>
      <c r="C296" t="inlineStr">
        <is>
          <t>Dikesrensning</t>
        </is>
      </c>
      <c r="D296" s="1" t="n">
        <v>45484</v>
      </c>
      <c r="E296" s="1" t="n">
        <v>46322</v>
      </c>
      <c r="F296" t="inlineStr">
        <is>
          <t>SKÅNE LÄN</t>
        </is>
      </c>
      <c r="G296" t="inlineStr">
        <is>
          <t>ÖRKELLJUNGA</t>
        </is>
      </c>
      <c r="I296" t="n">
        <v>2.9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S 856-2023</t>
        </is>
      </c>
      <c r="B297" t="inlineStr">
        <is>
          <t>samrådsanmälan</t>
        </is>
      </c>
      <c r="C297" t="inlineStr">
        <is>
          <t>Askåterföring</t>
        </is>
      </c>
      <c r="D297" s="1" t="n">
        <v>44993</v>
      </c>
      <c r="E297" s="1" t="n">
        <v>46322</v>
      </c>
      <c r="F297" t="inlineStr">
        <is>
          <t>SKÅNE LÄN</t>
        </is>
      </c>
      <c r="G297" t="inlineStr">
        <is>
          <t>ÖRKELLJUNGA</t>
        </is>
      </c>
      <c r="I297" t="n">
        <v>20.8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S 2633-2023</t>
        </is>
      </c>
      <c r="B298" t="inlineStr">
        <is>
          <t>samrådsanmälan</t>
        </is>
      </c>
      <c r="C298" t="inlineStr">
        <is>
          <t>Askåterföring</t>
        </is>
      </c>
      <c r="D298" s="1" t="n">
        <v>45148</v>
      </c>
      <c r="E298" s="1" t="n">
        <v>46322</v>
      </c>
      <c r="F298" t="inlineStr">
        <is>
          <t>SKÅNE LÄN</t>
        </is>
      </c>
      <c r="G298" t="inlineStr">
        <is>
          <t>ÖRKELLJUNGA</t>
        </is>
      </c>
      <c r="I298" t="n">
        <v>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S 293-2026</t>
        </is>
      </c>
      <c r="B299" t="inlineStr">
        <is>
          <t>samrådsanmälan</t>
        </is>
      </c>
      <c r="C299" t="inlineStr">
        <is>
          <t>Askåterföring</t>
        </is>
      </c>
      <c r="D299" s="1" t="n">
        <v>46057</v>
      </c>
      <c r="E299" s="1" t="n">
        <v>46322</v>
      </c>
      <c r="F299" t="inlineStr">
        <is>
          <t>SKÅNE LÄN</t>
        </is>
      </c>
      <c r="G299" t="inlineStr">
        <is>
          <t>ÖRKELLJUNGA</t>
        </is>
      </c>
      <c r="I299" t="n">
        <v>40.7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S 718-2026</t>
        </is>
      </c>
      <c r="B300" t="inlineStr">
        <is>
          <t>samrådsanmälan</t>
        </is>
      </c>
      <c r="C300" t="inlineStr">
        <is>
          <t>Askåterföring</t>
        </is>
      </c>
      <c r="D300" s="1" t="n">
        <v>46093</v>
      </c>
      <c r="E300" s="1" t="n">
        <v>46322</v>
      </c>
      <c r="F300" t="inlineStr">
        <is>
          <t>SKÅNE LÄN</t>
        </is>
      </c>
      <c r="G300" t="inlineStr">
        <is>
          <t>ÖRKELLJUNGA</t>
        </is>
      </c>
      <c r="I300" t="n">
        <v>8.699999999999999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S 755-2026</t>
        </is>
      </c>
      <c r="B301" t="inlineStr">
        <is>
          <t>samrådsanmälan</t>
        </is>
      </c>
      <c r="C301" t="inlineStr">
        <is>
          <t>Askåterföring</t>
        </is>
      </c>
      <c r="D301" s="1" t="n">
        <v>46097</v>
      </c>
      <c r="E301" s="1" t="n">
        <v>46322</v>
      </c>
      <c r="F301" t="inlineStr">
        <is>
          <t>SKÅNE LÄN</t>
        </is>
      </c>
      <c r="G301" t="inlineStr">
        <is>
          <t>ÖRKELLJUNGA</t>
        </is>
      </c>
      <c r="I301" t="n">
        <v>14.3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S 1079-2026</t>
        </is>
      </c>
      <c r="B302" t="inlineStr">
        <is>
          <t>samrådsanmälan</t>
        </is>
      </c>
      <c r="C302" t="inlineStr">
        <is>
          <t>Askåterföring</t>
        </is>
      </c>
      <c r="D302" s="1" t="n">
        <v>46129</v>
      </c>
      <c r="E302" s="1" t="n">
        <v>46322</v>
      </c>
      <c r="F302" t="inlineStr">
        <is>
          <t>SKÅNE LÄN</t>
        </is>
      </c>
      <c r="G302" t="inlineStr">
        <is>
          <t>ÖRKELLJUNGA</t>
        </is>
      </c>
      <c r="I302" t="n">
        <v>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S 1124-2026</t>
        </is>
      </c>
      <c r="B303" t="inlineStr">
        <is>
          <t>samrådsanmälan</t>
        </is>
      </c>
      <c r="C303" t="inlineStr">
        <is>
          <t>Askåterföring</t>
        </is>
      </c>
      <c r="D303" s="1" t="n">
        <v>46134</v>
      </c>
      <c r="E303" s="1" t="n">
        <v>46322</v>
      </c>
      <c r="F303" t="inlineStr">
        <is>
          <t>SKÅNE LÄN</t>
        </is>
      </c>
      <c r="G303" t="inlineStr">
        <is>
          <t>ÖRKELLJUNGA</t>
        </is>
      </c>
      <c r="I303" t="n">
        <v>30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>
      <c r="A304" t="inlineStr">
        <is>
          <t>S 1336-2026</t>
        </is>
      </c>
      <c r="B304" t="inlineStr">
        <is>
          <t>samrådsanmälan</t>
        </is>
      </c>
      <c r="C304" t="inlineStr">
        <is>
          <t>Askåterföring</t>
        </is>
      </c>
      <c r="D304" s="1" t="n">
        <v>46150</v>
      </c>
      <c r="E304" s="1" t="n">
        <v>46322</v>
      </c>
      <c r="F304" t="inlineStr">
        <is>
          <t>SKÅNE LÄN</t>
        </is>
      </c>
      <c r="G304" t="inlineStr">
        <is>
          <t>ÖRKELLJUNGA</t>
        </is>
      </c>
      <c r="I304" t="n">
        <v>35.2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2026-10-27T03:13:01Z</dcterms:created>
  <dcterms:modified xmlns:dcterms="http://purl.org/dc/terms/" xmlns:xsi="http://www.w3.org/2001/XMLSchema-instance" xsi:type="dcterms:W3CDTF">2026-10-27T03:13:01Z</dcterms:modified>
</cp:coreProperties>
</file>