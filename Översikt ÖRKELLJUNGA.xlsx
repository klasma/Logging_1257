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46194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46194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Talltita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5927-2023</t>
        </is>
      </c>
      <c r="B4" s="1" t="n">
        <v>44963</v>
      </c>
      <c r="C4" s="1" t="n">
        <v>46194</v>
      </c>
      <c r="D4" t="inlineStr">
        <is>
          <t>SKÅNE LÄN</t>
        </is>
      </c>
      <c r="E4" t="inlineStr">
        <is>
          <t>ÖRKELLJUNGA</t>
        </is>
      </c>
      <c r="G4" t="n">
        <v>0.9</v>
      </c>
      <c r="H4" t="n">
        <v>2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4</v>
      </c>
      <c r="R4" s="2" t="inlineStr">
        <is>
          <t>Skogsalm
Hussvala
Ladusvala
Svart skogssnigel</t>
        </is>
      </c>
      <c r="S4">
        <f>HYPERLINK("https://klasma.github.io/Logging_1257/artfynd/A 5927-2023 artfynd.xlsx", "A 5927-2023")</f>
        <v/>
      </c>
      <c r="T4">
        <f>HYPERLINK("https://klasma.github.io/Logging_1257/kartor/A 5927-2023 karta.png", "A 5927-2023")</f>
        <v/>
      </c>
      <c r="V4">
        <f>HYPERLINK("https://klasma.github.io/Logging_1257/klagomål/A 5927-2023 FSC-klagomål.docx", "A 5927-2023")</f>
        <v/>
      </c>
      <c r="W4">
        <f>HYPERLINK("https://klasma.github.io/Logging_1257/klagomålsmail/A 5927-2023 FSC-klagomål mail.docx", "A 5927-2023")</f>
        <v/>
      </c>
      <c r="X4">
        <f>HYPERLINK("https://klasma.github.io/Logging_1257/tillsyn/A 5927-2023 tillsynsbegäran.docx", "A 5927-2023")</f>
        <v/>
      </c>
      <c r="Y4">
        <f>HYPERLINK("https://klasma.github.io/Logging_1257/tillsynsmail/A 5927-2023 tillsynsbegäran mail.docx", "A 5927-2023")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46194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Småvänderot
Gröngöling
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  <c r="Z5">
        <f>HYPERLINK("https://klasma.github.io/Logging_1257/fåglar/A 4112-2025 prioriterade fågelarter.docx", "A 4112-2025")</f>
        <v/>
      </c>
    </row>
    <row r="6" ht="15" customHeight="1">
      <c r="A6" t="inlineStr">
        <is>
          <t>A 39622-2023</t>
        </is>
      </c>
      <c r="B6" s="1" t="n">
        <v>45163</v>
      </c>
      <c r="C6" s="1" t="n">
        <v>46194</v>
      </c>
      <c r="D6" t="inlineStr">
        <is>
          <t>SKÅNE LÄN</t>
        </is>
      </c>
      <c r="E6" t="inlineStr">
        <is>
          <t>ÖRKELLJUNGA</t>
        </is>
      </c>
      <c r="G6" t="n">
        <v>10.7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Skogsödla
Vanlig groda
Vanlig padda</t>
        </is>
      </c>
      <c r="S6">
        <f>HYPERLINK("https://klasma.github.io/Logging_1257/artfynd/A 39622-2023 artfynd.xlsx", "A 39622-2023")</f>
        <v/>
      </c>
      <c r="T6">
        <f>HYPERLINK("https://klasma.github.io/Logging_1257/kartor/A 39622-2023 karta.png", "A 39622-2023")</f>
        <v/>
      </c>
      <c r="V6">
        <f>HYPERLINK("https://klasma.github.io/Logging_1257/klagomål/A 39622-2023 FSC-klagomål.docx", "A 39622-2023")</f>
        <v/>
      </c>
      <c r="W6">
        <f>HYPERLINK("https://klasma.github.io/Logging_1257/klagomålsmail/A 39622-2023 FSC-klagomål mail.docx", "A 39622-2023")</f>
        <v/>
      </c>
      <c r="X6">
        <f>HYPERLINK("https://klasma.github.io/Logging_1257/tillsyn/A 39622-2023 tillsynsbegäran.docx", "A 39622-2023")</f>
        <v/>
      </c>
      <c r="Y6">
        <f>HYPERLINK("https://klasma.github.io/Logging_1257/tillsynsmail/A 39622-2023 tillsynsbegäran mail.docx", "A 39622-2023")</f>
        <v/>
      </c>
    </row>
    <row r="7" ht="15" customHeight="1">
      <c r="A7" t="inlineStr">
        <is>
          <t>A 31926-2024</t>
        </is>
      </c>
      <c r="B7" s="1" t="n">
        <v>45510</v>
      </c>
      <c r="C7" s="1" t="n">
        <v>46194</v>
      </c>
      <c r="D7" t="inlineStr">
        <is>
          <t>SKÅNE LÄN</t>
        </is>
      </c>
      <c r="E7" t="inlineStr">
        <is>
          <t>ÖRKELLJUNGA</t>
        </is>
      </c>
      <c r="G7" t="n">
        <v>1.9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Klippfrullania
Västlig hakmossa</t>
        </is>
      </c>
      <c r="S7">
        <f>HYPERLINK("https://klasma.github.io/Logging_1257/artfynd/A 31926-2024 artfynd.xlsx", "A 31926-2024")</f>
        <v/>
      </c>
      <c r="T7">
        <f>HYPERLINK("https://klasma.github.io/Logging_1257/kartor/A 31926-2024 karta.png", "A 31926-2024")</f>
        <v/>
      </c>
      <c r="V7">
        <f>HYPERLINK("https://klasma.github.io/Logging_1257/klagomål/A 31926-2024 FSC-klagomål.docx", "A 31926-2024")</f>
        <v/>
      </c>
      <c r="W7">
        <f>HYPERLINK("https://klasma.github.io/Logging_1257/klagomålsmail/A 31926-2024 FSC-klagomål mail.docx", "A 31926-2024")</f>
        <v/>
      </c>
      <c r="X7">
        <f>HYPERLINK("https://klasma.github.io/Logging_1257/tillsyn/A 31926-2024 tillsynsbegäran.docx", "A 31926-2024")</f>
        <v/>
      </c>
      <c r="Y7">
        <f>HYPERLINK("https://klasma.github.io/Logging_1257/tillsynsmail/A 31926-2024 tillsynsbegäran mail.docx", "A 31926-2024")</f>
        <v/>
      </c>
    </row>
    <row r="8" ht="15" customHeight="1">
      <c r="A8" t="inlineStr">
        <is>
          <t>A 35245-2025</t>
        </is>
      </c>
      <c r="B8" s="1" t="n">
        <v>45853</v>
      </c>
      <c r="C8" s="1" t="n">
        <v>46194</v>
      </c>
      <c r="D8" t="inlineStr">
        <is>
          <t>SKÅNE LÄN</t>
        </is>
      </c>
      <c r="E8" t="inlineStr">
        <is>
          <t>ÖRKELLJUNGA</t>
        </is>
      </c>
      <c r="G8" t="n">
        <v>8.699999999999999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Kungsfågel</t>
        </is>
      </c>
      <c r="S8">
        <f>HYPERLINK("https://klasma.github.io/Logging_1257/artfynd/A 35245-2025 artfynd.xlsx", "A 35245-2025")</f>
        <v/>
      </c>
      <c r="T8">
        <f>HYPERLINK("https://klasma.github.io/Logging_1257/kartor/A 35245-2025 karta.png", "A 35245-2025")</f>
        <v/>
      </c>
      <c r="V8">
        <f>HYPERLINK("https://klasma.github.io/Logging_1257/klagomål/A 35245-2025 FSC-klagomål.docx", "A 35245-2025")</f>
        <v/>
      </c>
      <c r="W8">
        <f>HYPERLINK("https://klasma.github.io/Logging_1257/klagomålsmail/A 35245-2025 FSC-klagomål mail.docx", "A 35245-2025")</f>
        <v/>
      </c>
      <c r="X8">
        <f>HYPERLINK("https://klasma.github.io/Logging_1257/tillsyn/A 35245-2025 tillsynsbegäran.docx", "A 35245-2025")</f>
        <v/>
      </c>
      <c r="Y8">
        <f>HYPERLINK("https://klasma.github.io/Logging_1257/tillsynsmail/A 35245-2025 tillsynsbegäran mail.docx", "A 35245-2025")</f>
        <v/>
      </c>
      <c r="Z8">
        <f>HYPERLINK("https://klasma.github.io/Logging_1257/fåglar/A 35245-2025 prioriterade fågelarter.docx", "A 35245-2025")</f>
        <v/>
      </c>
    </row>
    <row r="9" ht="15" customHeight="1">
      <c r="A9" t="inlineStr">
        <is>
          <t>A 25960-2023</t>
        </is>
      </c>
      <c r="B9" s="1" t="n">
        <v>45090</v>
      </c>
      <c r="C9" s="1" t="n">
        <v>46194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Bokkantlav
Guldlockmossa
Platt fjädermossa</t>
        </is>
      </c>
      <c r="S9">
        <f>HYPERLINK("https://klasma.github.io/Logging_1257/artfynd/A 25960-2023 artfynd.xlsx", "A 25960-2023")</f>
        <v/>
      </c>
      <c r="T9">
        <f>HYPERLINK("https://klasma.github.io/Logging_1257/kartor/A 25960-2023 karta.png", "A 25960-2023")</f>
        <v/>
      </c>
      <c r="V9">
        <f>HYPERLINK("https://klasma.github.io/Logging_1257/klagomål/A 25960-2023 FSC-klagomål.docx", "A 25960-2023")</f>
        <v/>
      </c>
      <c r="W9">
        <f>HYPERLINK("https://klasma.github.io/Logging_1257/klagomålsmail/A 25960-2023 FSC-klagomål mail.docx", "A 25960-2023")</f>
        <v/>
      </c>
      <c r="X9">
        <f>HYPERLINK("https://klasma.github.io/Logging_1257/tillsyn/A 25960-2023 tillsynsbegäran.docx", "A 25960-2023")</f>
        <v/>
      </c>
      <c r="Y9">
        <f>HYPERLINK("https://klasma.github.io/Logging_1257/tillsynsmail/A 25960-2023 tillsynsbegäran mail.docx", "A 25960-2023")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46194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60271-2024</t>
        </is>
      </c>
      <c r="B11" s="1" t="n">
        <v>45642</v>
      </c>
      <c r="C11" s="1" t="n">
        <v>46194</v>
      </c>
      <c r="D11" t="inlineStr">
        <is>
          <t>SKÅNE LÄN</t>
        </is>
      </c>
      <c r="E11" t="inlineStr">
        <is>
          <t>ÖRKELLJUNGA</t>
        </is>
      </c>
      <c r="G11" t="n">
        <v>1.8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padda
Vanlig snok</t>
        </is>
      </c>
      <c r="S11">
        <f>HYPERLINK("https://klasma.github.io/Logging_1257/artfynd/A 60271-2024 artfynd.xlsx", "A 60271-2024")</f>
        <v/>
      </c>
      <c r="T11">
        <f>HYPERLINK("https://klasma.github.io/Logging_1257/kartor/A 60271-2024 karta.png", "A 60271-2024")</f>
        <v/>
      </c>
      <c r="V11">
        <f>HYPERLINK("https://klasma.github.io/Logging_1257/klagomål/A 60271-2024 FSC-klagomål.docx", "A 60271-2024")</f>
        <v/>
      </c>
      <c r="W11">
        <f>HYPERLINK("https://klasma.github.io/Logging_1257/klagomålsmail/A 60271-2024 FSC-klagomål mail.docx", "A 60271-2024")</f>
        <v/>
      </c>
      <c r="X11">
        <f>HYPERLINK("https://klasma.github.io/Logging_1257/tillsyn/A 60271-2024 tillsynsbegäran.docx", "A 60271-2024")</f>
        <v/>
      </c>
      <c r="Y11">
        <f>HYPERLINK("https://klasma.github.io/Logging_1257/tillsynsmail/A 60271-2024 tillsynsbegäran mail.docx", "A 60271-2024")</f>
        <v/>
      </c>
    </row>
    <row r="12" ht="15" customHeight="1">
      <c r="A12" t="inlineStr">
        <is>
          <t>A 26585-2026</t>
        </is>
      </c>
      <c r="B12" s="1" t="n">
        <v>46183</v>
      </c>
      <c r="C12" s="1" t="n">
        <v>46194</v>
      </c>
      <c r="D12" t="inlineStr">
        <is>
          <t>SKÅNE LÄN</t>
        </is>
      </c>
      <c r="E12" t="inlineStr">
        <is>
          <t>ÖRKELLJUNGA</t>
        </is>
      </c>
      <c r="G12" t="n">
        <v>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26585-2026 artfynd.xlsx", "A 26585-2026")</f>
        <v/>
      </c>
      <c r="T12">
        <f>HYPERLINK("https://klasma.github.io/Logging_1257/kartor/A 26585-2026 karta.png", "A 26585-2026")</f>
        <v/>
      </c>
      <c r="V12">
        <f>HYPERLINK("https://klasma.github.io/Logging_1257/klagomål/A 26585-2026 FSC-klagomål.docx", "A 26585-2026")</f>
        <v/>
      </c>
      <c r="W12">
        <f>HYPERLINK("https://klasma.github.io/Logging_1257/klagomålsmail/A 26585-2026 FSC-klagomål mail.docx", "A 26585-2026")</f>
        <v/>
      </c>
      <c r="X12">
        <f>HYPERLINK("https://klasma.github.io/Logging_1257/tillsyn/A 26585-2026 tillsynsbegäran.docx", "A 26585-2026")</f>
        <v/>
      </c>
      <c r="Y12">
        <f>HYPERLINK("https://klasma.github.io/Logging_1257/tillsynsmail/A 26585-2026 tillsynsbegäran mail.docx", "A 26585-2026")</f>
        <v/>
      </c>
      <c r="Z12">
        <f>HYPERLINK("https://klasma.github.io/Logging_1257/fåglar/A 26585-2026 prioriterade fågelarter.docx", "A 26585-2026")</f>
        <v/>
      </c>
    </row>
    <row r="13" ht="15" customHeight="1">
      <c r="A13" t="inlineStr">
        <is>
          <t>A 50629-2025</t>
        </is>
      </c>
      <c r="B13" s="1" t="n">
        <v>45945</v>
      </c>
      <c r="C13" s="1" t="n">
        <v>46194</v>
      </c>
      <c r="D13" t="inlineStr">
        <is>
          <t>SKÅNE LÄN</t>
        </is>
      </c>
      <c r="E13" t="inlineStr">
        <is>
          <t>ÖRKELLJUNGA</t>
        </is>
      </c>
      <c r="G13" t="n">
        <v>6.3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Röd glada</t>
        </is>
      </c>
      <c r="S13">
        <f>HYPERLINK("https://klasma.github.io/Logging_1257/artfynd/A 50629-2025 artfynd.xlsx", "A 50629-2025")</f>
        <v/>
      </c>
      <c r="T13">
        <f>HYPERLINK("https://klasma.github.io/Logging_1257/kartor/A 50629-2025 karta.png", "A 50629-2025")</f>
        <v/>
      </c>
      <c r="V13">
        <f>HYPERLINK("https://klasma.github.io/Logging_1257/klagomål/A 50629-2025 FSC-klagomål.docx", "A 50629-2025")</f>
        <v/>
      </c>
      <c r="W13">
        <f>HYPERLINK("https://klasma.github.io/Logging_1257/klagomålsmail/A 50629-2025 FSC-klagomål mail.docx", "A 50629-2025")</f>
        <v/>
      </c>
      <c r="X13">
        <f>HYPERLINK("https://klasma.github.io/Logging_1257/tillsyn/A 50629-2025 tillsynsbegäran.docx", "A 50629-2025")</f>
        <v/>
      </c>
      <c r="Y13">
        <f>HYPERLINK("https://klasma.github.io/Logging_1257/tillsynsmail/A 50629-2025 tillsynsbegäran mail.docx", "A 50629-2025")</f>
        <v/>
      </c>
      <c r="Z13">
        <f>HYPERLINK("https://klasma.github.io/Logging_1257/fåglar/A 50629-2025 prioriterade fågelarter.docx", "A 50629-2025")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46194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6137-2024</t>
        </is>
      </c>
      <c r="B15" s="1" t="n">
        <v>45337</v>
      </c>
      <c r="C15" s="1" t="n">
        <v>46194</v>
      </c>
      <c r="D15" t="inlineStr">
        <is>
          <t>SKÅNE LÄN</t>
        </is>
      </c>
      <c r="E15" t="inlineStr">
        <is>
          <t>ÖRKELLJUNGA</t>
        </is>
      </c>
      <c r="G15" t="n">
        <v>11.7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Skorpplätt</t>
        </is>
      </c>
      <c r="S15">
        <f>HYPERLINK("https://klasma.github.io/Logging_1257/artfynd/A 6137-2024 artfynd.xlsx", "A 6137-2024")</f>
        <v/>
      </c>
      <c r="T15">
        <f>HYPERLINK("https://klasma.github.io/Logging_1257/kartor/A 6137-2024 karta.png", "A 6137-2024")</f>
        <v/>
      </c>
      <c r="V15">
        <f>HYPERLINK("https://klasma.github.io/Logging_1257/klagomål/A 6137-2024 FSC-klagomål.docx", "A 6137-2024")</f>
        <v/>
      </c>
      <c r="W15">
        <f>HYPERLINK("https://klasma.github.io/Logging_1257/klagomålsmail/A 6137-2024 FSC-klagomål mail.docx", "A 6137-2024")</f>
        <v/>
      </c>
      <c r="X15">
        <f>HYPERLINK("https://klasma.github.io/Logging_1257/tillsyn/A 6137-2024 tillsynsbegäran.docx", "A 6137-2024")</f>
        <v/>
      </c>
      <c r="Y15">
        <f>HYPERLINK("https://klasma.github.io/Logging_1257/tillsynsmail/A 6137-2024 tillsynsbegäran mail.docx", "A 6137-2024")</f>
        <v/>
      </c>
    </row>
    <row r="16" ht="15" customHeight="1">
      <c r="A16" t="inlineStr">
        <is>
          <t>A 1604-2025</t>
        </is>
      </c>
      <c r="B16" s="1" t="n">
        <v>45670</v>
      </c>
      <c r="C16" s="1" t="n">
        <v>46194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HYPERLINK("https://klasma.github.io/Logging_1257/artfynd/A 1604-2025 artfynd.xlsx", "A 1604-2025")</f>
        <v/>
      </c>
      <c r="T16">
        <f>HYPERLINK("https://klasma.github.io/Logging_1257/kartor/A 1604-2025 karta.png", "A 1604-2025")</f>
        <v/>
      </c>
      <c r="V16">
        <f>HYPERLINK("https://klasma.github.io/Logging_1257/klagomål/A 1604-2025 FSC-klagomål.docx", "A 1604-2025")</f>
        <v/>
      </c>
      <c r="W16">
        <f>HYPERLINK("https://klasma.github.io/Logging_1257/klagomålsmail/A 1604-2025 FSC-klagomål mail.docx", "A 1604-2025")</f>
        <v/>
      </c>
      <c r="X16">
        <f>HYPERLINK("https://klasma.github.io/Logging_1257/tillsyn/A 1604-2025 tillsynsbegäran.docx", "A 1604-2025")</f>
        <v/>
      </c>
      <c r="Y16">
        <f>HYPERLINK("https://klasma.github.io/Logging_1257/tillsynsmail/A 1604-2025 tillsynsbegäran mail.docx", "A 1604-2025")</f>
        <v/>
      </c>
    </row>
    <row r="17" ht="15" customHeight="1">
      <c r="A17" t="inlineStr">
        <is>
          <t>A 15068-2023</t>
        </is>
      </c>
      <c r="B17" s="1" t="n">
        <v>45015</v>
      </c>
      <c r="C17" s="1" t="n">
        <v>46194</v>
      </c>
      <c r="D17" t="inlineStr">
        <is>
          <t>SKÅNE LÄN</t>
        </is>
      </c>
      <c r="E17" t="inlineStr">
        <is>
          <t>ÖRKELLJUNGA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HYPERLINK("https://klasma.github.io/Logging_1257/artfynd/A 15068-2023 artfynd.xlsx", "A 15068-2023")</f>
        <v/>
      </c>
      <c r="T17">
        <f>HYPERLINK("https://klasma.github.io/Logging_1257/kartor/A 15068-2023 karta.png", "A 15068-2023")</f>
        <v/>
      </c>
      <c r="V17">
        <f>HYPERLINK("https://klasma.github.io/Logging_1257/klagomål/A 15068-2023 FSC-klagomål.docx", "A 15068-2023")</f>
        <v/>
      </c>
      <c r="W17">
        <f>HYPERLINK("https://klasma.github.io/Logging_1257/klagomålsmail/A 15068-2023 FSC-klagomål mail.docx", "A 15068-2023")</f>
        <v/>
      </c>
      <c r="X17">
        <f>HYPERLINK("https://klasma.github.io/Logging_1257/tillsyn/A 15068-2023 tillsynsbegäran.docx", "A 15068-2023")</f>
        <v/>
      </c>
      <c r="Y17">
        <f>HYPERLINK("https://klasma.github.io/Logging_1257/tillsynsmail/A 15068-2023 tillsynsbegäran mail.docx", "A 15068-2023")</f>
        <v/>
      </c>
    </row>
    <row r="18" ht="15" customHeight="1">
      <c r="A18" t="inlineStr">
        <is>
          <t>A 21867-2025</t>
        </is>
      </c>
      <c r="B18" s="1" t="n">
        <v>45784</v>
      </c>
      <c r="C18" s="1" t="n">
        <v>46194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Källkvicklöpare</t>
        </is>
      </c>
      <c r="S18">
        <f>HYPERLINK("https://klasma.github.io/Logging_1257/artfynd/A 21867-2025 artfynd.xlsx", "A 21867-2025")</f>
        <v/>
      </c>
      <c r="T18">
        <f>HYPERLINK("https://klasma.github.io/Logging_1257/kartor/A 21867-2025 karta.png", "A 21867-2025")</f>
        <v/>
      </c>
      <c r="V18">
        <f>HYPERLINK("https://klasma.github.io/Logging_1257/klagomål/A 21867-2025 FSC-klagomål.docx", "A 21867-2025")</f>
        <v/>
      </c>
      <c r="W18">
        <f>HYPERLINK("https://klasma.github.io/Logging_1257/klagomålsmail/A 21867-2025 FSC-klagomål mail.docx", "A 21867-2025")</f>
        <v/>
      </c>
      <c r="X18">
        <f>HYPERLINK("https://klasma.github.io/Logging_1257/tillsyn/A 21867-2025 tillsynsbegäran.docx", "A 21867-2025")</f>
        <v/>
      </c>
      <c r="Y18">
        <f>HYPERLINK("https://klasma.github.io/Logging_1257/tillsynsmail/A 21867-2025 tillsynsbegäran mail.docx", "A 21867-2025")</f>
        <v/>
      </c>
    </row>
    <row r="19" ht="15" customHeight="1">
      <c r="A19" t="inlineStr">
        <is>
          <t>A 57429-2025</t>
        </is>
      </c>
      <c r="B19" s="1" t="n">
        <v>45980</v>
      </c>
      <c r="C19" s="1" t="n">
        <v>46194</v>
      </c>
      <c r="D19" t="inlineStr">
        <is>
          <t>SKÅNE LÄN</t>
        </is>
      </c>
      <c r="E19" t="inlineStr">
        <is>
          <t>ÖRKELLJUNGA</t>
        </is>
      </c>
      <c r="G19" t="n">
        <v>2.8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HYPERLINK("https://klasma.github.io/Logging_1257/artfynd/A 57429-2025 artfynd.xlsx", "A 57429-2025")</f>
        <v/>
      </c>
      <c r="T19">
        <f>HYPERLINK("https://klasma.github.io/Logging_1257/kartor/A 57429-2025 karta.png", "A 57429-2025")</f>
        <v/>
      </c>
      <c r="V19">
        <f>HYPERLINK("https://klasma.github.io/Logging_1257/klagomål/A 57429-2025 FSC-klagomål.docx", "A 57429-2025")</f>
        <v/>
      </c>
      <c r="W19">
        <f>HYPERLINK("https://klasma.github.io/Logging_1257/klagomålsmail/A 57429-2025 FSC-klagomål mail.docx", "A 57429-2025")</f>
        <v/>
      </c>
      <c r="X19">
        <f>HYPERLINK("https://klasma.github.io/Logging_1257/tillsyn/A 57429-2025 tillsynsbegäran.docx", "A 57429-2025")</f>
        <v/>
      </c>
      <c r="Y19">
        <f>HYPERLINK("https://klasma.github.io/Logging_1257/tillsynsmail/A 57429-2025 tillsynsbegäran mail.docx", "A 57429-2025")</f>
        <v/>
      </c>
    </row>
    <row r="20" ht="15" customHeight="1">
      <c r="A20" t="inlineStr">
        <is>
          <t>A 22410-2024</t>
        </is>
      </c>
      <c r="B20" s="1" t="n">
        <v>45446</v>
      </c>
      <c r="C20" s="1" t="n">
        <v>46194</v>
      </c>
      <c r="D20" t="inlineStr">
        <is>
          <t>SKÅNE LÄN</t>
        </is>
      </c>
      <c r="E20" t="inlineStr">
        <is>
          <t>ÖRKELLJUNGA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HYPERLINK("https://klasma.github.io/Logging_1257/artfynd/A 22410-2024 artfynd.xlsx", "A 22410-2024")</f>
        <v/>
      </c>
      <c r="T20">
        <f>HYPERLINK("https://klasma.github.io/Logging_1257/kartor/A 22410-2024 karta.png", "A 22410-2024")</f>
        <v/>
      </c>
      <c r="V20">
        <f>HYPERLINK("https://klasma.github.io/Logging_1257/klagomål/A 22410-2024 FSC-klagomål.docx", "A 22410-2024")</f>
        <v/>
      </c>
      <c r="W20">
        <f>HYPERLINK("https://klasma.github.io/Logging_1257/klagomålsmail/A 22410-2024 FSC-klagomål mail.docx", "A 22410-2024")</f>
        <v/>
      </c>
      <c r="X20">
        <f>HYPERLINK("https://klasma.github.io/Logging_1257/tillsyn/A 22410-2024 tillsynsbegäran.docx", "A 22410-2024")</f>
        <v/>
      </c>
      <c r="Y20">
        <f>HYPERLINK("https://klasma.github.io/Logging_1257/tillsynsmail/A 22410-2024 tillsynsbegäran mail.docx", "A 22410-2024")</f>
        <v/>
      </c>
    </row>
    <row r="21" ht="15" customHeight="1">
      <c r="A21" t="inlineStr">
        <is>
          <t>A 10496-2026</t>
        </is>
      </c>
      <c r="B21" s="1" t="n">
        <v>46076</v>
      </c>
      <c r="C21" s="1" t="n">
        <v>46194</v>
      </c>
      <c r="D21" t="inlineStr">
        <is>
          <t>SKÅNE LÄN</t>
        </is>
      </c>
      <c r="E21" t="inlineStr">
        <is>
          <t>ÖRKELLJUNGA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HYPERLINK("https://klasma.github.io/Logging_1257/artfynd/A 10496-2026 artfynd.xlsx", "A 10496-2026")</f>
        <v/>
      </c>
      <c r="T21">
        <f>HYPERLINK("https://klasma.github.io/Logging_1257/kartor/A 10496-2026 karta.png", "A 10496-2026")</f>
        <v/>
      </c>
      <c r="V21">
        <f>HYPERLINK("https://klasma.github.io/Logging_1257/klagomål/A 10496-2026 FSC-klagomål.docx", "A 10496-2026")</f>
        <v/>
      </c>
      <c r="W21">
        <f>HYPERLINK("https://klasma.github.io/Logging_1257/klagomålsmail/A 10496-2026 FSC-klagomål mail.docx", "A 10496-2026")</f>
        <v/>
      </c>
      <c r="X21">
        <f>HYPERLINK("https://klasma.github.io/Logging_1257/tillsyn/A 10496-2026 tillsynsbegäran.docx", "A 10496-2026")</f>
        <v/>
      </c>
      <c r="Y21">
        <f>HYPERLINK("https://klasma.github.io/Logging_1257/tillsynsmail/A 10496-2026 tillsynsbegäran mail.docx", "A 10496-2026")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46194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46194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46194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46194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46194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46194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46194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46194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46194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46194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46194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39365-2021</t>
        </is>
      </c>
      <c r="B33" s="1" t="n">
        <v>44414</v>
      </c>
      <c r="C33" s="1" t="n">
        <v>46194</v>
      </c>
      <c r="D33" t="inlineStr">
        <is>
          <t>SKÅNE LÄN</t>
        </is>
      </c>
      <c r="E33" t="inlineStr">
        <is>
          <t>ÖRKELLJUNGA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8111-2022</t>
        </is>
      </c>
      <c r="B34" s="1" t="n">
        <v>44607</v>
      </c>
      <c r="C34" s="1" t="n">
        <v>46194</v>
      </c>
      <c r="D34" t="inlineStr">
        <is>
          <t>SKÅNE LÄN</t>
        </is>
      </c>
      <c r="E34" t="inlineStr">
        <is>
          <t>ÖRKELLJUNGA</t>
        </is>
      </c>
      <c r="F34" t="inlineStr">
        <is>
          <t>Kyrkan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45443-2021</t>
        </is>
      </c>
      <c r="B35" s="1" t="n">
        <v>44440</v>
      </c>
      <c r="C35" s="1" t="n">
        <v>46194</v>
      </c>
      <c r="D35" t="inlineStr">
        <is>
          <t>SKÅNE LÄN</t>
        </is>
      </c>
      <c r="E35" t="inlineStr">
        <is>
          <t>ÖRKELLJUNGA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70802-2021</t>
        </is>
      </c>
      <c r="B36" s="1" t="n">
        <v>44537</v>
      </c>
      <c r="C36" s="1" t="n">
        <v>46194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46194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46194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46194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46194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42653-2024</t>
        </is>
      </c>
      <c r="B41" s="1" t="n">
        <v>45566</v>
      </c>
      <c r="C41" s="1" t="n">
        <v>46194</v>
      </c>
      <c r="D41" t="inlineStr">
        <is>
          <t>SKÅNE LÄN</t>
        </is>
      </c>
      <c r="E41" t="inlineStr">
        <is>
          <t>ÖRKELLJUNGA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33796-2023</t>
        </is>
      </c>
      <c r="B42" s="1" t="n">
        <v>45133</v>
      </c>
      <c r="C42" s="1" t="n">
        <v>46194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12139-2022</t>
        </is>
      </c>
      <c r="B43" s="1" t="n">
        <v>44636</v>
      </c>
      <c r="C43" s="1" t="n">
        <v>46194</v>
      </c>
      <c r="D43" t="inlineStr">
        <is>
          <t>SKÅNE LÄN</t>
        </is>
      </c>
      <c r="E43" t="inlineStr">
        <is>
          <t>ÖRKELLJUNGA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2088-2023</t>
        </is>
      </c>
      <c r="B44" s="1" t="n">
        <v>44939</v>
      </c>
      <c r="C44" s="1" t="n">
        <v>46194</v>
      </c>
      <c r="D44" t="inlineStr">
        <is>
          <t>SKÅNE LÄN</t>
        </is>
      </c>
      <c r="E44" t="inlineStr">
        <is>
          <t>ÖRKELLJUNGA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2092-2023</t>
        </is>
      </c>
      <c r="B45" s="1" t="n">
        <v>44939</v>
      </c>
      <c r="C45" s="1" t="n">
        <v>46194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58284-2023</t>
        </is>
      </c>
      <c r="B46" s="1" t="n">
        <v>45250</v>
      </c>
      <c r="C46" s="1" t="n">
        <v>46194</v>
      </c>
      <c r="D46" t="inlineStr">
        <is>
          <t>SKÅNE LÄN</t>
        </is>
      </c>
      <c r="E46" t="inlineStr">
        <is>
          <t>ÖRKELLJUNGA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52528-2021</t>
        </is>
      </c>
      <c r="B47" s="1" t="n">
        <v>44466</v>
      </c>
      <c r="C47" s="1" t="n">
        <v>46194</v>
      </c>
      <c r="D47" t="inlineStr">
        <is>
          <t>SKÅNE LÄN</t>
        </is>
      </c>
      <c r="E47" t="inlineStr">
        <is>
          <t>ÖRKELLJUNGA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2086-2023</t>
        </is>
      </c>
      <c r="B48" s="1" t="n">
        <v>44939</v>
      </c>
      <c r="C48" s="1" t="n">
        <v>46194</v>
      </c>
      <c r="D48" t="inlineStr">
        <is>
          <t>SKÅNE LÄN</t>
        </is>
      </c>
      <c r="E48" t="inlineStr">
        <is>
          <t>ÖRKELLJUNGA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2359-2023</t>
        </is>
      </c>
      <c r="B49" s="1" t="n">
        <v>44942</v>
      </c>
      <c r="C49" s="1" t="n">
        <v>46194</v>
      </c>
      <c r="D49" t="inlineStr">
        <is>
          <t>SKÅNE LÄN</t>
        </is>
      </c>
      <c r="E49" t="inlineStr">
        <is>
          <t>ÖRKELLJUNGA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57161-2022</t>
        </is>
      </c>
      <c r="B50" s="1" t="n">
        <v>44895</v>
      </c>
      <c r="C50" s="1" t="n">
        <v>46194</v>
      </c>
      <c r="D50" t="inlineStr">
        <is>
          <t>SKÅNE LÄN</t>
        </is>
      </c>
      <c r="E50" t="inlineStr">
        <is>
          <t>ÖRKELLJUNGA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27967-2024</t>
        </is>
      </c>
      <c r="B51" s="1" t="n">
        <v>45476</v>
      </c>
      <c r="C51" s="1" t="n">
        <v>46194</v>
      </c>
      <c r="D51" t="inlineStr">
        <is>
          <t>SKÅNE LÄN</t>
        </is>
      </c>
      <c r="E51" t="inlineStr">
        <is>
          <t>ÖRKELLJUNGA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36838-2024</t>
        </is>
      </c>
      <c r="B52" s="1" t="n">
        <v>45538</v>
      </c>
      <c r="C52" s="1" t="n">
        <v>46194</v>
      </c>
      <c r="D52" t="inlineStr">
        <is>
          <t>SKÅNE LÄN</t>
        </is>
      </c>
      <c r="E52" t="inlineStr">
        <is>
          <t>ÖRKELLJUNGA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47890-2022</t>
        </is>
      </c>
      <c r="B53" s="1" t="n">
        <v>44855</v>
      </c>
      <c r="C53" s="1" t="n">
        <v>46194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34279-2023</t>
        </is>
      </c>
      <c r="B54" s="1" t="n">
        <v>45138</v>
      </c>
      <c r="C54" s="1" t="n">
        <v>46194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45063-2022</t>
        </is>
      </c>
      <c r="B55" s="1" t="n">
        <v>44841</v>
      </c>
      <c r="C55" s="1" t="n">
        <v>46194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31925-2024</t>
        </is>
      </c>
      <c r="B56" s="1" t="n">
        <v>45510</v>
      </c>
      <c r="C56" s="1" t="n">
        <v>46194</v>
      </c>
      <c r="D56" t="inlineStr">
        <is>
          <t>SKÅNE LÄN</t>
        </is>
      </c>
      <c r="E56" t="inlineStr">
        <is>
          <t>ÖRKELLJUNGA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57795-2022</t>
        </is>
      </c>
      <c r="B57" s="1" t="n">
        <v>44897</v>
      </c>
      <c r="C57" s="1" t="n">
        <v>46194</v>
      </c>
      <c r="D57" t="inlineStr">
        <is>
          <t>SKÅNE LÄN</t>
        </is>
      </c>
      <c r="E57" t="inlineStr">
        <is>
          <t>ÖRKELLJUNGA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36595-2022</t>
        </is>
      </c>
      <c r="B58" s="1" t="n">
        <v>44804</v>
      </c>
      <c r="C58" s="1" t="n">
        <v>46194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1783-2025</t>
        </is>
      </c>
      <c r="B59" s="1" t="n">
        <v>45671</v>
      </c>
      <c r="C59" s="1" t="n">
        <v>46194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2399-2025</t>
        </is>
      </c>
      <c r="B60" s="1" t="n">
        <v>45672</v>
      </c>
      <c r="C60" s="1" t="n">
        <v>46194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26178-2023</t>
        </is>
      </c>
      <c r="B61" s="1" t="n">
        <v>45091</v>
      </c>
      <c r="C61" s="1" t="n">
        <v>46194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26179-2023</t>
        </is>
      </c>
      <c r="B62" s="1" t="n">
        <v>45091</v>
      </c>
      <c r="C62" s="1" t="n">
        <v>46194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29335-2022</t>
        </is>
      </c>
      <c r="B63" s="1" t="n">
        <v>44752</v>
      </c>
      <c r="C63" s="1" t="n">
        <v>46194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73830-2021</t>
        </is>
      </c>
      <c r="B64" s="1" t="n">
        <v>44552</v>
      </c>
      <c r="C64" s="1" t="n">
        <v>46194</v>
      </c>
      <c r="D64" t="inlineStr">
        <is>
          <t>SKÅNE LÄN</t>
        </is>
      </c>
      <c r="E64" t="inlineStr">
        <is>
          <t>ÖRKELLJUNGA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6020-2022</t>
        </is>
      </c>
      <c r="B65" s="1" t="n">
        <v>44599</v>
      </c>
      <c r="C65" s="1" t="n">
        <v>46194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22699-2024</t>
        </is>
      </c>
      <c r="B66" s="1" t="n">
        <v>45448</v>
      </c>
      <c r="C66" s="1" t="n">
        <v>46194</v>
      </c>
      <c r="D66" t="inlineStr">
        <is>
          <t>SKÅNE LÄN</t>
        </is>
      </c>
      <c r="E66" t="inlineStr">
        <is>
          <t>ÖRKELLJUNGA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25965-2023</t>
        </is>
      </c>
      <c r="B67" s="1" t="n">
        <v>45090</v>
      </c>
      <c r="C67" s="1" t="n">
        <v>46194</v>
      </c>
      <c r="D67" t="inlineStr">
        <is>
          <t>SKÅNE LÄN</t>
        </is>
      </c>
      <c r="E67" t="inlineStr">
        <is>
          <t>ÖRKELLJUNGA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19390-2023</t>
        </is>
      </c>
      <c r="B68" s="1" t="n">
        <v>45048</v>
      </c>
      <c r="C68" s="1" t="n">
        <v>46194</v>
      </c>
      <c r="D68" t="inlineStr">
        <is>
          <t>SKÅNE LÄN</t>
        </is>
      </c>
      <c r="E68" t="inlineStr">
        <is>
          <t>ÖRKELLJUNGA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65211-2021</t>
        </is>
      </c>
      <c r="B69" s="1" t="n">
        <v>44515</v>
      </c>
      <c r="C69" s="1" t="n">
        <v>46194</v>
      </c>
      <c r="D69" t="inlineStr">
        <is>
          <t>SKÅNE LÄN</t>
        </is>
      </c>
      <c r="E69" t="inlineStr">
        <is>
          <t>ÖRKELLJUNGA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9773-2024</t>
        </is>
      </c>
      <c r="B70" s="1" t="n">
        <v>45362</v>
      </c>
      <c r="C70" s="1" t="n">
        <v>46194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13068-2023</t>
        </is>
      </c>
      <c r="B71" s="1" t="n">
        <v>45002</v>
      </c>
      <c r="C71" s="1" t="n">
        <v>46194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62180-2022</t>
        </is>
      </c>
      <c r="B72" s="1" t="n">
        <v>44915</v>
      </c>
      <c r="C72" s="1" t="n">
        <v>46194</v>
      </c>
      <c r="D72" t="inlineStr">
        <is>
          <t>SKÅNE LÄN</t>
        </is>
      </c>
      <c r="E72" t="inlineStr">
        <is>
          <t>ÖRKELLJUNGA</t>
        </is>
      </c>
      <c r="F72" t="inlineStr">
        <is>
          <t>Kyrkan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9748-2024</t>
        </is>
      </c>
      <c r="B73" s="1" t="n">
        <v>45362</v>
      </c>
      <c r="C73" s="1" t="n">
        <v>46194</v>
      </c>
      <c r="D73" t="inlineStr">
        <is>
          <t>SKÅNE LÄN</t>
        </is>
      </c>
      <c r="E73" t="inlineStr">
        <is>
          <t>ÖRKELLJUNGA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71637-2021</t>
        </is>
      </c>
      <c r="B74" s="1" t="n">
        <v>44543</v>
      </c>
      <c r="C74" s="1" t="n">
        <v>46194</v>
      </c>
      <c r="D74" t="inlineStr">
        <is>
          <t>SKÅNE LÄN</t>
        </is>
      </c>
      <c r="E74" t="inlineStr">
        <is>
          <t>ÖRKELLJUNGA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63029-2023</t>
        </is>
      </c>
      <c r="B75" s="1" t="n">
        <v>45272</v>
      </c>
      <c r="C75" s="1" t="n">
        <v>46194</v>
      </c>
      <c r="D75" t="inlineStr">
        <is>
          <t>SKÅNE LÄN</t>
        </is>
      </c>
      <c r="E75" t="inlineStr">
        <is>
          <t>ÖRKELLJUNGA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14430-2023</t>
        </is>
      </c>
      <c r="B76" s="1" t="n">
        <v>45012</v>
      </c>
      <c r="C76" s="1" t="n">
        <v>46194</v>
      </c>
      <c r="D76" t="inlineStr">
        <is>
          <t>SKÅNE LÄN</t>
        </is>
      </c>
      <c r="E76" t="inlineStr">
        <is>
          <t>ÖRKELLJUNGA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23692-2023</t>
        </is>
      </c>
      <c r="B77" s="1" t="n">
        <v>45077</v>
      </c>
      <c r="C77" s="1" t="n">
        <v>46194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23739-2023</t>
        </is>
      </c>
      <c r="B78" s="1" t="n">
        <v>45077</v>
      </c>
      <c r="C78" s="1" t="n">
        <v>46194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23740-2023</t>
        </is>
      </c>
      <c r="B79" s="1" t="n">
        <v>45077</v>
      </c>
      <c r="C79" s="1" t="n">
        <v>46194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17737-2023</t>
        </is>
      </c>
      <c r="B80" s="1" t="n">
        <v>45037</v>
      </c>
      <c r="C80" s="1" t="n">
        <v>46194</v>
      </c>
      <c r="D80" t="inlineStr">
        <is>
          <t>SKÅNE LÄN</t>
        </is>
      </c>
      <c r="E80" t="inlineStr">
        <is>
          <t>ÖRKELLJUNGA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24154-2023</t>
        </is>
      </c>
      <c r="B81" s="1" t="n">
        <v>45079</v>
      </c>
      <c r="C81" s="1" t="n">
        <v>46194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21023-2024</t>
        </is>
      </c>
      <c r="B82" s="1" t="n">
        <v>45439</v>
      </c>
      <c r="C82" s="1" t="n">
        <v>46194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20492-2024</t>
        </is>
      </c>
      <c r="B83" s="1" t="n">
        <v>45435</v>
      </c>
      <c r="C83" s="1" t="n">
        <v>46194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22975-2023</t>
        </is>
      </c>
      <c r="B84" s="1" t="n">
        <v>45072</v>
      </c>
      <c r="C84" s="1" t="n">
        <v>46194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23898-2023</t>
        </is>
      </c>
      <c r="B85" s="1" t="n">
        <v>45078</v>
      </c>
      <c r="C85" s="1" t="n">
        <v>46194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31399-2025</t>
        </is>
      </c>
      <c r="B86" s="1" t="n">
        <v>45833</v>
      </c>
      <c r="C86" s="1" t="n">
        <v>46194</v>
      </c>
      <c r="D86" t="inlineStr">
        <is>
          <t>SKÅNE LÄN</t>
        </is>
      </c>
      <c r="E86" t="inlineStr">
        <is>
          <t>ÖRKELLJUNGA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56460-2023</t>
        </is>
      </c>
      <c r="B87" s="1" t="n">
        <v>45243</v>
      </c>
      <c r="C87" s="1" t="n">
        <v>46194</v>
      </c>
      <c r="D87" t="inlineStr">
        <is>
          <t>SKÅNE LÄN</t>
        </is>
      </c>
      <c r="E87" t="inlineStr">
        <is>
          <t>ÖRKELLJUNGA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5954-2025</t>
        </is>
      </c>
      <c r="B88" s="1" t="n">
        <v>45695</v>
      </c>
      <c r="C88" s="1" t="n">
        <v>46194</v>
      </c>
      <c r="D88" t="inlineStr">
        <is>
          <t>SKÅNE LÄN</t>
        </is>
      </c>
      <c r="E88" t="inlineStr">
        <is>
          <t>ÖRKELLJUNGA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38928-2024</t>
        </is>
      </c>
      <c r="B89" s="1" t="n">
        <v>45548</v>
      </c>
      <c r="C89" s="1" t="n">
        <v>46194</v>
      </c>
      <c r="D89" t="inlineStr">
        <is>
          <t>SKÅNE LÄN</t>
        </is>
      </c>
      <c r="E89" t="inlineStr">
        <is>
          <t>ÖRKELLJUNGA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63783-2023</t>
        </is>
      </c>
      <c r="B90" s="1" t="n">
        <v>45278</v>
      </c>
      <c r="C90" s="1" t="n">
        <v>46194</v>
      </c>
      <c r="D90" t="inlineStr">
        <is>
          <t>SKÅNE LÄN</t>
        </is>
      </c>
      <c r="E90" t="inlineStr">
        <is>
          <t>ÖRKELLJUNGA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9359-2025</t>
        </is>
      </c>
      <c r="B91" s="1" t="n">
        <v>45715</v>
      </c>
      <c r="C91" s="1" t="n">
        <v>46194</v>
      </c>
      <c r="D91" t="inlineStr">
        <is>
          <t>SKÅNE LÄN</t>
        </is>
      </c>
      <c r="E91" t="inlineStr">
        <is>
          <t>ÖRKELLJUNGA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58130-2022</t>
        </is>
      </c>
      <c r="B92" s="1" t="n">
        <v>44900</v>
      </c>
      <c r="C92" s="1" t="n">
        <v>46194</v>
      </c>
      <c r="D92" t="inlineStr">
        <is>
          <t>SKÅNE LÄN</t>
        </is>
      </c>
      <c r="E92" t="inlineStr">
        <is>
          <t>ÖRKELLJUNGA</t>
        </is>
      </c>
      <c r="G92" t="n">
        <v>23.2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38857-2025</t>
        </is>
      </c>
      <c r="B93" s="1" t="n">
        <v>45887</v>
      </c>
      <c r="C93" s="1" t="n">
        <v>46194</v>
      </c>
      <c r="D93" t="inlineStr">
        <is>
          <t>SKÅNE LÄN</t>
        </is>
      </c>
      <c r="E93" t="inlineStr">
        <is>
          <t>ÖRKELLJUNGA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38897-2025</t>
        </is>
      </c>
      <c r="B94" s="1" t="n">
        <v>45887</v>
      </c>
      <c r="C94" s="1" t="n">
        <v>46194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19643-2024</t>
        </is>
      </c>
      <c r="B95" s="1" t="n">
        <v>45432</v>
      </c>
      <c r="C95" s="1" t="n">
        <v>46194</v>
      </c>
      <c r="D95" t="inlineStr">
        <is>
          <t>SKÅNE LÄN</t>
        </is>
      </c>
      <c r="E95" t="inlineStr">
        <is>
          <t>ÖRKELLJUNGA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22406-2024</t>
        </is>
      </c>
      <c r="B96" s="1" t="n">
        <v>45446</v>
      </c>
      <c r="C96" s="1" t="n">
        <v>46194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52876-2024</t>
        </is>
      </c>
      <c r="B97" s="1" t="n">
        <v>45610</v>
      </c>
      <c r="C97" s="1" t="n">
        <v>46194</v>
      </c>
      <c r="D97" t="inlineStr">
        <is>
          <t>SKÅNE LÄN</t>
        </is>
      </c>
      <c r="E97" t="inlineStr">
        <is>
          <t>ÖRKELLJUNGA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38879-2025</t>
        </is>
      </c>
      <c r="B98" s="1" t="n">
        <v>45887</v>
      </c>
      <c r="C98" s="1" t="n">
        <v>46194</v>
      </c>
      <c r="D98" t="inlineStr">
        <is>
          <t>SKÅNE LÄN</t>
        </is>
      </c>
      <c r="E98" t="inlineStr">
        <is>
          <t>ÖRKELLJUNGA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7915-2025</t>
        </is>
      </c>
      <c r="B99" s="1" t="n">
        <v>45707</v>
      </c>
      <c r="C99" s="1" t="n">
        <v>46194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38214-2023</t>
        </is>
      </c>
      <c r="B100" s="1" t="n">
        <v>45161</v>
      </c>
      <c r="C100" s="1" t="n">
        <v>46194</v>
      </c>
      <c r="D100" t="inlineStr">
        <is>
          <t>SKÅNE LÄN</t>
        </is>
      </c>
      <c r="E100" t="inlineStr">
        <is>
          <t>ÖRKELLJUNGA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26058-2024</t>
        </is>
      </c>
      <c r="B101" s="1" t="n">
        <v>45468</v>
      </c>
      <c r="C101" s="1" t="n">
        <v>46194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27540-2024</t>
        </is>
      </c>
      <c r="B102" s="1" t="n">
        <v>45474</v>
      </c>
      <c r="C102" s="1" t="n">
        <v>46194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47871-2022</t>
        </is>
      </c>
      <c r="B103" s="1" t="n">
        <v>44855</v>
      </c>
      <c r="C103" s="1" t="n">
        <v>46194</v>
      </c>
      <c r="D103" t="inlineStr">
        <is>
          <t>SKÅNE LÄN</t>
        </is>
      </c>
      <c r="E103" t="inlineStr">
        <is>
          <t>ÖRKELLJUNGA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44880-2022</t>
        </is>
      </c>
      <c r="B104" s="1" t="n">
        <v>44841</v>
      </c>
      <c r="C104" s="1" t="n">
        <v>46194</v>
      </c>
      <c r="D104" t="inlineStr">
        <is>
          <t>SKÅNE LÄN</t>
        </is>
      </c>
      <c r="E104" t="inlineStr">
        <is>
          <t>ÖRKELLJUNGA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57208-2022</t>
        </is>
      </c>
      <c r="B105" s="1" t="n">
        <v>44895</v>
      </c>
      <c r="C105" s="1" t="n">
        <v>46194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9695-2023</t>
        </is>
      </c>
      <c r="B106" s="1" t="n">
        <v>44984</v>
      </c>
      <c r="C106" s="1" t="n">
        <v>46194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36572-2021</t>
        </is>
      </c>
      <c r="B107" s="1" t="n">
        <v>44391</v>
      </c>
      <c r="C107" s="1" t="n">
        <v>46194</v>
      </c>
      <c r="D107" t="inlineStr">
        <is>
          <t>SKÅNE LÄN</t>
        </is>
      </c>
      <c r="E107" t="inlineStr">
        <is>
          <t>ÖRKELLJUNGA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42177-2023</t>
        </is>
      </c>
      <c r="B108" s="1" t="n">
        <v>45178</v>
      </c>
      <c r="C108" s="1" t="n">
        <v>46194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25962-2023</t>
        </is>
      </c>
      <c r="B109" s="1" t="n">
        <v>45090</v>
      </c>
      <c r="C109" s="1" t="n">
        <v>46194</v>
      </c>
      <c r="D109" t="inlineStr">
        <is>
          <t>SKÅNE LÄN</t>
        </is>
      </c>
      <c r="E109" t="inlineStr">
        <is>
          <t>ÖRKELLJUNGA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30638-2023</t>
        </is>
      </c>
      <c r="B110" s="1" t="n">
        <v>45112</v>
      </c>
      <c r="C110" s="1" t="n">
        <v>46194</v>
      </c>
      <c r="D110" t="inlineStr">
        <is>
          <t>SKÅNE LÄN</t>
        </is>
      </c>
      <c r="E110" t="inlineStr">
        <is>
          <t>ÖRKELLJUNGA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64091-2023</t>
        </is>
      </c>
      <c r="B111" s="1" t="n">
        <v>45279</v>
      </c>
      <c r="C111" s="1" t="n">
        <v>46194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40814-2023</t>
        </is>
      </c>
      <c r="B112" s="1" t="n">
        <v>45171</v>
      </c>
      <c r="C112" s="1" t="n">
        <v>46194</v>
      </c>
      <c r="D112" t="inlineStr">
        <is>
          <t>SKÅNE LÄN</t>
        </is>
      </c>
      <c r="E112" t="inlineStr">
        <is>
          <t>ÖRKELLJUNGA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40017-2023</t>
        </is>
      </c>
      <c r="B113" s="1" t="n">
        <v>45168</v>
      </c>
      <c r="C113" s="1" t="n">
        <v>46194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1904-2023</t>
        </is>
      </c>
      <c r="B114" s="1" t="n">
        <v>44939</v>
      </c>
      <c r="C114" s="1" t="n">
        <v>46194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51577-2023</t>
        </is>
      </c>
      <c r="B115" s="1" t="n">
        <v>45222</v>
      </c>
      <c r="C115" s="1" t="n">
        <v>46194</v>
      </c>
      <c r="D115" t="inlineStr">
        <is>
          <t>SKÅNE LÄN</t>
        </is>
      </c>
      <c r="E115" t="inlineStr">
        <is>
          <t>ÖRKELLJUNGA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3830-2022</t>
        </is>
      </c>
      <c r="B116" s="1" t="n">
        <v>44587</v>
      </c>
      <c r="C116" s="1" t="n">
        <v>46194</v>
      </c>
      <c r="D116" t="inlineStr">
        <is>
          <t>SKÅNE LÄN</t>
        </is>
      </c>
      <c r="E116" t="inlineStr">
        <is>
          <t>ÖRKELLJUNGA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28221-2023</t>
        </is>
      </c>
      <c r="B117" s="1" t="n">
        <v>45099</v>
      </c>
      <c r="C117" s="1" t="n">
        <v>46194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171-2025</t>
        </is>
      </c>
      <c r="B118" s="1" t="n">
        <v>45659</v>
      </c>
      <c r="C118" s="1" t="n">
        <v>46194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41912-2025</t>
        </is>
      </c>
      <c r="B119" s="1" t="n">
        <v>45903</v>
      </c>
      <c r="C119" s="1" t="n">
        <v>46194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41887-2025</t>
        </is>
      </c>
      <c r="B120" s="1" t="n">
        <v>45903</v>
      </c>
      <c r="C120" s="1" t="n">
        <v>46194</v>
      </c>
      <c r="D120" t="inlineStr">
        <is>
          <t>SKÅNE LÄN</t>
        </is>
      </c>
      <c r="E120" t="inlineStr">
        <is>
          <t>ÖRKELLJUNGA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41926-2025</t>
        </is>
      </c>
      <c r="B121" s="1" t="n">
        <v>45903</v>
      </c>
      <c r="C121" s="1" t="n">
        <v>46194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42728-2025</t>
        </is>
      </c>
      <c r="B122" s="1" t="n">
        <v>45908</v>
      </c>
      <c r="C122" s="1" t="n">
        <v>46194</v>
      </c>
      <c r="D122" t="inlineStr">
        <is>
          <t>SKÅNE LÄN</t>
        </is>
      </c>
      <c r="E122" t="inlineStr">
        <is>
          <t>ÖRKELLJUNGA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42708-2025</t>
        </is>
      </c>
      <c r="B123" s="1" t="n">
        <v>45908</v>
      </c>
      <c r="C123" s="1" t="n">
        <v>46194</v>
      </c>
      <c r="D123" t="inlineStr">
        <is>
          <t>SKÅNE LÄN</t>
        </is>
      </c>
      <c r="E123" t="inlineStr">
        <is>
          <t>ÖRKELLJUNGA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45192-2022</t>
        </is>
      </c>
      <c r="B124" s="1" t="n">
        <v>44844</v>
      </c>
      <c r="C124" s="1" t="n">
        <v>46194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13797-2025</t>
        </is>
      </c>
      <c r="B125" s="1" t="n">
        <v>45737</v>
      </c>
      <c r="C125" s="1" t="n">
        <v>46194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17641-2023</t>
        </is>
      </c>
      <c r="B126" s="1" t="n">
        <v>45035</v>
      </c>
      <c r="C126" s="1" t="n">
        <v>46194</v>
      </c>
      <c r="D126" t="inlineStr">
        <is>
          <t>SKÅNE LÄN</t>
        </is>
      </c>
      <c r="E126" t="inlineStr">
        <is>
          <t>ÖRKELLJUNGA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36543-2022</t>
        </is>
      </c>
      <c r="B127" s="1" t="n">
        <v>44804</v>
      </c>
      <c r="C127" s="1" t="n">
        <v>46194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44364-2025</t>
        </is>
      </c>
      <c r="B128" s="1" t="n">
        <v>45916</v>
      </c>
      <c r="C128" s="1" t="n">
        <v>46194</v>
      </c>
      <c r="D128" t="inlineStr">
        <is>
          <t>SKÅNE LÄN</t>
        </is>
      </c>
      <c r="E128" t="inlineStr">
        <is>
          <t>ÖRKELLJUNGA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5941-2025</t>
        </is>
      </c>
      <c r="B129" s="1" t="n">
        <v>45695</v>
      </c>
      <c r="C129" s="1" t="n">
        <v>46194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43990-2025</t>
        </is>
      </c>
      <c r="B130" s="1" t="n">
        <v>45915</v>
      </c>
      <c r="C130" s="1" t="n">
        <v>46194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10797-2025</t>
        </is>
      </c>
      <c r="B131" s="1" t="n">
        <v>45722</v>
      </c>
      <c r="C131" s="1" t="n">
        <v>46194</v>
      </c>
      <c r="D131" t="inlineStr">
        <is>
          <t>SKÅNE LÄN</t>
        </is>
      </c>
      <c r="E131" t="inlineStr">
        <is>
          <t>ÖRKELLJUNGA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40190-2022</t>
        </is>
      </c>
      <c r="B132" s="1" t="n">
        <v>44820</v>
      </c>
      <c r="C132" s="1" t="n">
        <v>46194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44923-2025</t>
        </is>
      </c>
      <c r="B133" s="1" t="n">
        <v>45918</v>
      </c>
      <c r="C133" s="1" t="n">
        <v>46194</v>
      </c>
      <c r="D133" t="inlineStr">
        <is>
          <t>SKÅNE LÄN</t>
        </is>
      </c>
      <c r="E133" t="inlineStr">
        <is>
          <t>ÖRKELLJUNGA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44903-2025</t>
        </is>
      </c>
      <c r="B134" s="1" t="n">
        <v>45918</v>
      </c>
      <c r="C134" s="1" t="n">
        <v>46194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44846-2025</t>
        </is>
      </c>
      <c r="B135" s="1" t="n">
        <v>45918</v>
      </c>
      <c r="C135" s="1" t="n">
        <v>46194</v>
      </c>
      <c r="D135" t="inlineStr">
        <is>
          <t>SKÅNE LÄN</t>
        </is>
      </c>
      <c r="E135" t="inlineStr">
        <is>
          <t>ÖRKELLJUNGA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44890-2025</t>
        </is>
      </c>
      <c r="B136" s="1" t="n">
        <v>45918</v>
      </c>
      <c r="C136" s="1" t="n">
        <v>46194</v>
      </c>
      <c r="D136" t="inlineStr">
        <is>
          <t>SKÅNE LÄN</t>
        </is>
      </c>
      <c r="E136" t="inlineStr">
        <is>
          <t>ÖRKELLJUNGA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44814-2022</t>
        </is>
      </c>
      <c r="B137" s="1" t="n">
        <v>44841</v>
      </c>
      <c r="C137" s="1" t="n">
        <v>46194</v>
      </c>
      <c r="D137" t="inlineStr">
        <is>
          <t>SKÅNE LÄN</t>
        </is>
      </c>
      <c r="E137" t="inlineStr">
        <is>
          <t>ÖRKELLJUNGA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44882-2022</t>
        </is>
      </c>
      <c r="B138" s="1" t="n">
        <v>44841</v>
      </c>
      <c r="C138" s="1" t="n">
        <v>46194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44897-2025</t>
        </is>
      </c>
      <c r="B139" s="1" t="n">
        <v>45918</v>
      </c>
      <c r="C139" s="1" t="n">
        <v>46194</v>
      </c>
      <c r="D139" t="inlineStr">
        <is>
          <t>SKÅNE LÄN</t>
        </is>
      </c>
      <c r="E139" t="inlineStr">
        <is>
          <t>ÖRKELLJUNGA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1397-2023</t>
        </is>
      </c>
      <c r="B140" s="1" t="n">
        <v>44936</v>
      </c>
      <c r="C140" s="1" t="n">
        <v>46194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168-2025</t>
        </is>
      </c>
      <c r="B141" s="1" t="n">
        <v>45659</v>
      </c>
      <c r="C141" s="1" t="n">
        <v>46194</v>
      </c>
      <c r="D141" t="inlineStr">
        <is>
          <t>SKÅNE LÄN</t>
        </is>
      </c>
      <c r="E141" t="inlineStr">
        <is>
          <t>ÖRKELLJUNGA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49362-2024</t>
        </is>
      </c>
      <c r="B142" s="1" t="n">
        <v>45595</v>
      </c>
      <c r="C142" s="1" t="n">
        <v>46194</v>
      </c>
      <c r="D142" t="inlineStr">
        <is>
          <t>SKÅNE LÄN</t>
        </is>
      </c>
      <c r="E142" t="inlineStr">
        <is>
          <t>ÖRKELLJUNGA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22391-2024</t>
        </is>
      </c>
      <c r="B143" s="1" t="n">
        <v>45446</v>
      </c>
      <c r="C143" s="1" t="n">
        <v>46194</v>
      </c>
      <c r="D143" t="inlineStr">
        <is>
          <t>SKÅNE LÄN</t>
        </is>
      </c>
      <c r="E143" t="inlineStr">
        <is>
          <t>ÖRKELLJUNGA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47268-2025</t>
        </is>
      </c>
      <c r="B144" s="1" t="n">
        <v>45930</v>
      </c>
      <c r="C144" s="1" t="n">
        <v>46194</v>
      </c>
      <c r="D144" t="inlineStr">
        <is>
          <t>SKÅNE LÄN</t>
        </is>
      </c>
      <c r="E144" t="inlineStr">
        <is>
          <t>ÖRKELLJUNGA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27486-2024</t>
        </is>
      </c>
      <c r="B145" s="1" t="n">
        <v>45474</v>
      </c>
      <c r="C145" s="1" t="n">
        <v>46194</v>
      </c>
      <c r="D145" t="inlineStr">
        <is>
          <t>SKÅNE LÄN</t>
        </is>
      </c>
      <c r="E145" t="inlineStr">
        <is>
          <t>ÖRKELLJUNGA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25958-2023</t>
        </is>
      </c>
      <c r="B146" s="1" t="n">
        <v>45090</v>
      </c>
      <c r="C146" s="1" t="n">
        <v>46194</v>
      </c>
      <c r="D146" t="inlineStr">
        <is>
          <t>SKÅNE LÄN</t>
        </is>
      </c>
      <c r="E146" t="inlineStr">
        <is>
          <t>ÖRKELLJUNGA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23693-2023</t>
        </is>
      </c>
      <c r="B147" s="1" t="n">
        <v>45077</v>
      </c>
      <c r="C147" s="1" t="n">
        <v>46194</v>
      </c>
      <c r="D147" t="inlineStr">
        <is>
          <t>SKÅNE LÄN</t>
        </is>
      </c>
      <c r="E147" t="inlineStr">
        <is>
          <t>ÖRKELLJUNGA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23990-2023</t>
        </is>
      </c>
      <c r="B148" s="1" t="n">
        <v>45078</v>
      </c>
      <c r="C148" s="1" t="n">
        <v>46194</v>
      </c>
      <c r="D148" t="inlineStr">
        <is>
          <t>SKÅNE LÄN</t>
        </is>
      </c>
      <c r="E148" t="inlineStr">
        <is>
          <t>ÖRKELLJUNGA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34591-2023</t>
        </is>
      </c>
      <c r="B149" s="1" t="n">
        <v>45140</v>
      </c>
      <c r="C149" s="1" t="n">
        <v>46194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26583-2026</t>
        </is>
      </c>
      <c r="B150" s="1" t="n">
        <v>46183</v>
      </c>
      <c r="C150" s="1" t="n">
        <v>46194</v>
      </c>
      <c r="D150" t="inlineStr">
        <is>
          <t>SKÅNE LÄN</t>
        </is>
      </c>
      <c r="E150" t="inlineStr">
        <is>
          <t>ÖRKELLJUNGA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52372-2021</t>
        </is>
      </c>
      <c r="B151" s="1" t="n">
        <v>44465</v>
      </c>
      <c r="C151" s="1" t="n">
        <v>46194</v>
      </c>
      <c r="D151" t="inlineStr">
        <is>
          <t>SKÅNE LÄN</t>
        </is>
      </c>
      <c r="E151" t="inlineStr">
        <is>
          <t>ÖRKELLJUNGA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11126-2025</t>
        </is>
      </c>
      <c r="B152" s="1" t="n">
        <v>45723</v>
      </c>
      <c r="C152" s="1" t="n">
        <v>46194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48672-2025</t>
        </is>
      </c>
      <c r="B153" s="1" t="n">
        <v>45936</v>
      </c>
      <c r="C153" s="1" t="n">
        <v>46194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17458-2023</t>
        </is>
      </c>
      <c r="B154" s="1" t="n">
        <v>45034</v>
      </c>
      <c r="C154" s="1" t="n">
        <v>46194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23469-2025</t>
        </is>
      </c>
      <c r="B155" s="1" t="n">
        <v>45792</v>
      </c>
      <c r="C155" s="1" t="n">
        <v>46194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54669-2023</t>
        </is>
      </c>
      <c r="B156" s="1" t="n">
        <v>45235</v>
      </c>
      <c r="C156" s="1" t="n">
        <v>46194</v>
      </c>
      <c r="D156" t="inlineStr">
        <is>
          <t>SKÅNE LÄN</t>
        </is>
      </c>
      <c r="E156" t="inlineStr">
        <is>
          <t>ÖRKELLJUNGA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11460-2025</t>
        </is>
      </c>
      <c r="B157" s="1" t="n">
        <v>45726</v>
      </c>
      <c r="C157" s="1" t="n">
        <v>46194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26593-2026</t>
        </is>
      </c>
      <c r="B158" s="1" t="n">
        <v>46183</v>
      </c>
      <c r="C158" s="1" t="n">
        <v>46194</v>
      </c>
      <c r="D158" t="inlineStr">
        <is>
          <t>SKÅNE LÄN</t>
        </is>
      </c>
      <c r="E158" t="inlineStr">
        <is>
          <t>ÖRKELLJUNGA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54667-2023</t>
        </is>
      </c>
      <c r="B159" s="1" t="n">
        <v>45235</v>
      </c>
      <c r="C159" s="1" t="n">
        <v>46194</v>
      </c>
      <c r="D159" t="inlineStr">
        <is>
          <t>SKÅNE LÄN</t>
        </is>
      </c>
      <c r="E159" t="inlineStr">
        <is>
          <t>ÖRKELLJUNGA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44925-2025</t>
        </is>
      </c>
      <c r="B160" s="1" t="n">
        <v>45918</v>
      </c>
      <c r="C160" s="1" t="n">
        <v>46194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36280-2025</t>
        </is>
      </c>
      <c r="B161" s="1" t="n">
        <v>45867</v>
      </c>
      <c r="C161" s="1" t="n">
        <v>46194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57703-2022</t>
        </is>
      </c>
      <c r="B162" s="1" t="n">
        <v>44897</v>
      </c>
      <c r="C162" s="1" t="n">
        <v>46194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26597-2026</t>
        </is>
      </c>
      <c r="B163" s="1" t="n">
        <v>46183</v>
      </c>
      <c r="C163" s="1" t="n">
        <v>46194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2090-2023</t>
        </is>
      </c>
      <c r="B164" s="1" t="n">
        <v>44939</v>
      </c>
      <c r="C164" s="1" t="n">
        <v>46194</v>
      </c>
      <c r="D164" t="inlineStr">
        <is>
          <t>SKÅNE LÄN</t>
        </is>
      </c>
      <c r="E164" t="inlineStr">
        <is>
          <t>ÖRKELLJUNGA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51654-2025</t>
        </is>
      </c>
      <c r="B165" s="1" t="n">
        <v>45951</v>
      </c>
      <c r="C165" s="1" t="n">
        <v>46194</v>
      </c>
      <c r="D165" t="inlineStr">
        <is>
          <t>SKÅNE LÄN</t>
        </is>
      </c>
      <c r="E165" t="inlineStr">
        <is>
          <t>ÖRKELLJUNGA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26032-2025</t>
        </is>
      </c>
      <c r="B166" s="1" t="n">
        <v>45804</v>
      </c>
      <c r="C166" s="1" t="n">
        <v>46194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25588-2025</t>
        </is>
      </c>
      <c r="B167" s="1" t="n">
        <v>45803</v>
      </c>
      <c r="C167" s="1" t="n">
        <v>46194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25589-2025</t>
        </is>
      </c>
      <c r="B168" s="1" t="n">
        <v>45803</v>
      </c>
      <c r="C168" s="1" t="n">
        <v>46194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35168-2025</t>
        </is>
      </c>
      <c r="B169" s="1" t="n">
        <v>45852</v>
      </c>
      <c r="C169" s="1" t="n">
        <v>46194</v>
      </c>
      <c r="D169" t="inlineStr">
        <is>
          <t>SKÅNE LÄN</t>
        </is>
      </c>
      <c r="E169" t="inlineStr">
        <is>
          <t>ÖRKELLJUNGA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26020-2025</t>
        </is>
      </c>
      <c r="B170" s="1" t="n">
        <v>45804</v>
      </c>
      <c r="C170" s="1" t="n">
        <v>46194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26594-2026</t>
        </is>
      </c>
      <c r="B171" s="1" t="n">
        <v>46183</v>
      </c>
      <c r="C171" s="1" t="n">
        <v>46194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26596-2026</t>
        </is>
      </c>
      <c r="B172" s="1" t="n">
        <v>46183</v>
      </c>
      <c r="C172" s="1" t="n">
        <v>46194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25963-2023</t>
        </is>
      </c>
      <c r="B173" s="1" t="n">
        <v>45090</v>
      </c>
      <c r="C173" s="1" t="n">
        <v>46194</v>
      </c>
      <c r="D173" t="inlineStr">
        <is>
          <t>SKÅNE LÄN</t>
        </is>
      </c>
      <c r="E173" t="inlineStr">
        <is>
          <t>ÖRKELLJUNGA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26578-2026</t>
        </is>
      </c>
      <c r="B174" s="1" t="n">
        <v>46183</v>
      </c>
      <c r="C174" s="1" t="n">
        <v>46194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26580-2026</t>
        </is>
      </c>
      <c r="B175" s="1" t="n">
        <v>46183</v>
      </c>
      <c r="C175" s="1" t="n">
        <v>46194</v>
      </c>
      <c r="D175" t="inlineStr">
        <is>
          <t>SKÅNE LÄN</t>
        </is>
      </c>
      <c r="E175" t="inlineStr">
        <is>
          <t>ÖRKELLJUNGA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20671-2026</t>
        </is>
      </c>
      <c r="B176" s="1" t="n">
        <v>46141</v>
      </c>
      <c r="C176" s="1" t="n">
        <v>46194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53142-2025</t>
        </is>
      </c>
      <c r="B177" s="1" t="n">
        <v>45958</v>
      </c>
      <c r="C177" s="1" t="n">
        <v>46194</v>
      </c>
      <c r="D177" t="inlineStr">
        <is>
          <t>SKÅNE LÄN</t>
        </is>
      </c>
      <c r="E177" t="inlineStr">
        <is>
          <t>ÖRKELLJUNGA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53017-2025</t>
        </is>
      </c>
      <c r="B178" s="1" t="n">
        <v>45957</v>
      </c>
      <c r="C178" s="1" t="n">
        <v>46194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26564-2026</t>
        </is>
      </c>
      <c r="B179" s="1" t="n">
        <v>46183</v>
      </c>
      <c r="C179" s="1" t="n">
        <v>46194</v>
      </c>
      <c r="D179" t="inlineStr">
        <is>
          <t>SKÅNE LÄN</t>
        </is>
      </c>
      <c r="E179" t="inlineStr">
        <is>
          <t>ÖRKELLJUNGA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8204-2023</t>
        </is>
      </c>
      <c r="B180" s="1" t="n">
        <v>44971</v>
      </c>
      <c r="C180" s="1" t="n">
        <v>46194</v>
      </c>
      <c r="D180" t="inlineStr">
        <is>
          <t>SKÅNE LÄN</t>
        </is>
      </c>
      <c r="E180" t="inlineStr">
        <is>
          <t>ÖRKELLJUNGA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24765-2023</t>
        </is>
      </c>
      <c r="B181" s="1" t="n">
        <v>45084</v>
      </c>
      <c r="C181" s="1" t="n">
        <v>46194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27523-2025</t>
        </is>
      </c>
      <c r="B182" s="1" t="n">
        <v>45813</v>
      </c>
      <c r="C182" s="1" t="n">
        <v>46194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15478-2025</t>
        </is>
      </c>
      <c r="B183" s="1" t="n">
        <v>45747</v>
      </c>
      <c r="C183" s="1" t="n">
        <v>46194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21146-2022</t>
        </is>
      </c>
      <c r="B184" s="1" t="n">
        <v>44704</v>
      </c>
      <c r="C184" s="1" t="n">
        <v>46194</v>
      </c>
      <c r="D184" t="inlineStr">
        <is>
          <t>SKÅNE LÄN</t>
        </is>
      </c>
      <c r="E184" t="inlineStr">
        <is>
          <t>ÖRKELLJUNGA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28693-2025</t>
        </is>
      </c>
      <c r="B185" s="1" t="n">
        <v>45819</v>
      </c>
      <c r="C185" s="1" t="n">
        <v>46194</v>
      </c>
      <c r="D185" t="inlineStr">
        <is>
          <t>SKÅNE LÄN</t>
        </is>
      </c>
      <c r="E185" t="inlineStr">
        <is>
          <t>ÖRKELLJUNGA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29642-2025</t>
        </is>
      </c>
      <c r="B186" s="1" t="n">
        <v>45825</v>
      </c>
      <c r="C186" s="1" t="n">
        <v>46194</v>
      </c>
      <c r="D186" t="inlineStr">
        <is>
          <t>SKÅNE LÄN</t>
        </is>
      </c>
      <c r="E186" t="inlineStr">
        <is>
          <t>ÖRKELLJUNGA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9691-2023</t>
        </is>
      </c>
      <c r="B187" s="1" t="n">
        <v>44984</v>
      </c>
      <c r="C187" s="1" t="n">
        <v>46194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39650-2023</t>
        </is>
      </c>
      <c r="B188" s="1" t="n">
        <v>45167</v>
      </c>
      <c r="C188" s="1" t="n">
        <v>46194</v>
      </c>
      <c r="D188" t="inlineStr">
        <is>
          <t>SKÅNE LÄN</t>
        </is>
      </c>
      <c r="E188" t="inlineStr">
        <is>
          <t>ÖRKELLJUNGA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56264-2025</t>
        </is>
      </c>
      <c r="B189" s="1" t="n">
        <v>45974</v>
      </c>
      <c r="C189" s="1" t="n">
        <v>46194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27146-2026</t>
        </is>
      </c>
      <c r="B190" s="1" t="n">
        <v>46188</v>
      </c>
      <c r="C190" s="1" t="n">
        <v>46194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56455-2025</t>
        </is>
      </c>
      <c r="B191" s="1" t="n">
        <v>45975</v>
      </c>
      <c r="C191" s="1" t="n">
        <v>46194</v>
      </c>
      <c r="D191" t="inlineStr">
        <is>
          <t>SKÅNE LÄN</t>
        </is>
      </c>
      <c r="E191" t="inlineStr">
        <is>
          <t>ÖRKELLJUNGA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14912-2024</t>
        </is>
      </c>
      <c r="B192" s="1" t="n">
        <v>45398</v>
      </c>
      <c r="C192" s="1" t="n">
        <v>46194</v>
      </c>
      <c r="D192" t="inlineStr">
        <is>
          <t>SKÅNE LÄN</t>
        </is>
      </c>
      <c r="E192" t="inlineStr">
        <is>
          <t>ÖRKELLJUNGA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57343-2025</t>
        </is>
      </c>
      <c r="B193" s="1" t="n">
        <v>45980</v>
      </c>
      <c r="C193" s="1" t="n">
        <v>46194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17270-2025</t>
        </is>
      </c>
      <c r="B194" s="1" t="n">
        <v>45756</v>
      </c>
      <c r="C194" s="1" t="n">
        <v>46194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12038-2025</t>
        </is>
      </c>
      <c r="B195" s="1" t="n">
        <v>45728</v>
      </c>
      <c r="C195" s="1" t="n">
        <v>46194</v>
      </c>
      <c r="D195" t="inlineStr">
        <is>
          <t>SKÅNE LÄN</t>
        </is>
      </c>
      <c r="E195" t="inlineStr">
        <is>
          <t>ÖRKELLJUNGA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1935-2024</t>
        </is>
      </c>
      <c r="B196" s="1" t="n">
        <v>45308</v>
      </c>
      <c r="C196" s="1" t="n">
        <v>46194</v>
      </c>
      <c r="D196" t="inlineStr">
        <is>
          <t>SKÅNE LÄN</t>
        </is>
      </c>
      <c r="E196" t="inlineStr">
        <is>
          <t>ÖRKELLJUNGA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72261-2021</t>
        </is>
      </c>
      <c r="B197" s="1" t="n">
        <v>44545</v>
      </c>
      <c r="C197" s="1" t="n">
        <v>46194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32704-2025</t>
        </is>
      </c>
      <c r="B198" s="1" t="n">
        <v>45839</v>
      </c>
      <c r="C198" s="1" t="n">
        <v>46194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57790-2025</t>
        </is>
      </c>
      <c r="B199" s="1" t="n">
        <v>45981</v>
      </c>
      <c r="C199" s="1" t="n">
        <v>46194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57774-2025</t>
        </is>
      </c>
      <c r="B200" s="1" t="n">
        <v>45981</v>
      </c>
      <c r="C200" s="1" t="n">
        <v>46194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58347-2025</t>
        </is>
      </c>
      <c r="B201" s="1" t="n">
        <v>45985</v>
      </c>
      <c r="C201" s="1" t="n">
        <v>46194</v>
      </c>
      <c r="D201" t="inlineStr">
        <is>
          <t>SKÅNE LÄN</t>
        </is>
      </c>
      <c r="E201" t="inlineStr">
        <is>
          <t>ÖRKELLJUNGA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14254-2023</t>
        </is>
      </c>
      <c r="B202" s="1" t="n">
        <v>45009</v>
      </c>
      <c r="C202" s="1" t="n">
        <v>46194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37620-2023</t>
        </is>
      </c>
      <c r="B203" s="1" t="n">
        <v>45159</v>
      </c>
      <c r="C203" s="1" t="n">
        <v>46194</v>
      </c>
      <c r="D203" t="inlineStr">
        <is>
          <t>SKÅNE LÄN</t>
        </is>
      </c>
      <c r="E203" t="inlineStr">
        <is>
          <t>ÖRKELLJUNGA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18285-2025</t>
        </is>
      </c>
      <c r="B204" s="1" t="n">
        <v>45762</v>
      </c>
      <c r="C204" s="1" t="n">
        <v>46194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61602-2024</t>
        </is>
      </c>
      <c r="B205" s="1" t="n">
        <v>45646</v>
      </c>
      <c r="C205" s="1" t="n">
        <v>46194</v>
      </c>
      <c r="D205" t="inlineStr">
        <is>
          <t>SKÅNE LÄN</t>
        </is>
      </c>
      <c r="E205" t="inlineStr">
        <is>
          <t>ÖRKELLJUNGA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31704-2023</t>
        </is>
      </c>
      <c r="B206" s="1" t="n">
        <v>45117</v>
      </c>
      <c r="C206" s="1" t="n">
        <v>46194</v>
      </c>
      <c r="D206" t="inlineStr">
        <is>
          <t>SKÅNE LÄN</t>
        </is>
      </c>
      <c r="E206" t="inlineStr">
        <is>
          <t>ÖRKELLJUNGA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7707-2024</t>
        </is>
      </c>
      <c r="B207" s="1" t="n">
        <v>45349</v>
      </c>
      <c r="C207" s="1" t="n">
        <v>46194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38899-2025</t>
        </is>
      </c>
      <c r="B208" s="1" t="n">
        <v>45887</v>
      </c>
      <c r="C208" s="1" t="n">
        <v>46194</v>
      </c>
      <c r="D208" t="inlineStr">
        <is>
          <t>SKÅNE LÄN</t>
        </is>
      </c>
      <c r="E208" t="inlineStr">
        <is>
          <t>ÖRKELLJUNGA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60789-2025</t>
        </is>
      </c>
      <c r="B209" s="1" t="n">
        <v>45999</v>
      </c>
      <c r="C209" s="1" t="n">
        <v>46194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24664-2025</t>
        </is>
      </c>
      <c r="B210" s="1" t="n">
        <v>45798</v>
      </c>
      <c r="C210" s="1" t="n">
        <v>46194</v>
      </c>
      <c r="D210" t="inlineStr">
        <is>
          <t>SKÅNE LÄN</t>
        </is>
      </c>
      <c r="E210" t="inlineStr">
        <is>
          <t>ÖRKELLJUNGA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24671-2025</t>
        </is>
      </c>
      <c r="B211" s="1" t="n">
        <v>45798</v>
      </c>
      <c r="C211" s="1" t="n">
        <v>46194</v>
      </c>
      <c r="D211" t="inlineStr">
        <is>
          <t>SKÅNE LÄN</t>
        </is>
      </c>
      <c r="E211" t="inlineStr">
        <is>
          <t>ÖRKELLJUNGA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24674-2025</t>
        </is>
      </c>
      <c r="B212" s="1" t="n">
        <v>45798</v>
      </c>
      <c r="C212" s="1" t="n">
        <v>46194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34631-2025</t>
        </is>
      </c>
      <c r="B213" s="1" t="n">
        <v>45848</v>
      </c>
      <c r="C213" s="1" t="n">
        <v>46194</v>
      </c>
      <c r="D213" t="inlineStr">
        <is>
          <t>SKÅNE LÄN</t>
        </is>
      </c>
      <c r="E213" t="inlineStr">
        <is>
          <t>ÖRKELLJUNGA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53676-2025</t>
        </is>
      </c>
      <c r="B214" s="1" t="n">
        <v>45960</v>
      </c>
      <c r="C214" s="1" t="n">
        <v>46194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52243-2025</t>
        </is>
      </c>
      <c r="B215" s="1" t="n">
        <v>45953</v>
      </c>
      <c r="C215" s="1" t="n">
        <v>46194</v>
      </c>
      <c r="D215" t="inlineStr">
        <is>
          <t>SKÅNE LÄN</t>
        </is>
      </c>
      <c r="E215" t="inlineStr">
        <is>
          <t>ÖRKELLJUNGA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53163-2025</t>
        </is>
      </c>
      <c r="B216" s="1" t="n">
        <v>45958</v>
      </c>
      <c r="C216" s="1" t="n">
        <v>46194</v>
      </c>
      <c r="D216" t="inlineStr">
        <is>
          <t>SKÅNE LÄN</t>
        </is>
      </c>
      <c r="E216" t="inlineStr">
        <is>
          <t>ÖRKELLJUNGA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52246-2025</t>
        </is>
      </c>
      <c r="B217" s="1" t="n">
        <v>45953</v>
      </c>
      <c r="C217" s="1" t="n">
        <v>46194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2405-2025</t>
        </is>
      </c>
      <c r="B218" s="1" t="n">
        <v>45674</v>
      </c>
      <c r="C218" s="1" t="n">
        <v>46194</v>
      </c>
      <c r="D218" t="inlineStr">
        <is>
          <t>SKÅNE LÄN</t>
        </is>
      </c>
      <c r="E218" t="inlineStr">
        <is>
          <t>ÖRKELLJUNGA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25967-2023</t>
        </is>
      </c>
      <c r="B219" s="1" t="n">
        <v>45090</v>
      </c>
      <c r="C219" s="1" t="n">
        <v>46194</v>
      </c>
      <c r="D219" t="inlineStr">
        <is>
          <t>SKÅNE LÄN</t>
        </is>
      </c>
      <c r="E219" t="inlineStr">
        <is>
          <t>ÖRKELLJUNGA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9559-2022</t>
        </is>
      </c>
      <c r="B220" s="1" t="n">
        <v>44617</v>
      </c>
      <c r="C220" s="1" t="n">
        <v>46194</v>
      </c>
      <c r="D220" t="inlineStr">
        <is>
          <t>SKÅNE LÄN</t>
        </is>
      </c>
      <c r="E220" t="inlineStr">
        <is>
          <t>ÖRKELLJUNGA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1225-2026</t>
        </is>
      </c>
      <c r="B221" s="1" t="n">
        <v>46031</v>
      </c>
      <c r="C221" s="1" t="n">
        <v>46194</v>
      </c>
      <c r="D221" t="inlineStr">
        <is>
          <t>SKÅNE LÄN</t>
        </is>
      </c>
      <c r="E221" t="inlineStr">
        <is>
          <t>ÖRKELLJUNGA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48966-2023</t>
        </is>
      </c>
      <c r="B222" s="1" t="n">
        <v>45209</v>
      </c>
      <c r="C222" s="1" t="n">
        <v>46194</v>
      </c>
      <c r="D222" t="inlineStr">
        <is>
          <t>SKÅNE LÄN</t>
        </is>
      </c>
      <c r="E222" t="inlineStr">
        <is>
          <t>ÖRKELLJUNGA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2474-2026</t>
        </is>
      </c>
      <c r="B223" s="1" t="n">
        <v>46037</v>
      </c>
      <c r="C223" s="1" t="n">
        <v>46194</v>
      </c>
      <c r="D223" t="inlineStr">
        <is>
          <t>SKÅNE LÄN</t>
        </is>
      </c>
      <c r="E223" t="inlineStr">
        <is>
          <t>ÖRKELLJUNGA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2537-2026</t>
        </is>
      </c>
      <c r="B224" s="1" t="n">
        <v>46037</v>
      </c>
      <c r="C224" s="1" t="n">
        <v>46194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50304-2023</t>
        </is>
      </c>
      <c r="B225" s="1" t="n">
        <v>45209</v>
      </c>
      <c r="C225" s="1" t="n">
        <v>46194</v>
      </c>
      <c r="D225" t="inlineStr">
        <is>
          <t>SKÅNE LÄN</t>
        </is>
      </c>
      <c r="E225" t="inlineStr">
        <is>
          <t>ÖRKELLJUNGA</t>
        </is>
      </c>
      <c r="G225" t="n">
        <v>17.9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26837-2022</t>
        </is>
      </c>
      <c r="B226" s="1" t="n">
        <v>44740</v>
      </c>
      <c r="C226" s="1" t="n">
        <v>46194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3934-2026</t>
        </is>
      </c>
      <c r="B227" s="1" t="n">
        <v>46043</v>
      </c>
      <c r="C227" s="1" t="n">
        <v>46194</v>
      </c>
      <c r="D227" t="inlineStr">
        <is>
          <t>SKÅNE LÄN</t>
        </is>
      </c>
      <c r="E227" t="inlineStr">
        <is>
          <t>ÖRKELLJUNGA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29334-2022</t>
        </is>
      </c>
      <c r="B228" s="1" t="n">
        <v>44752</v>
      </c>
      <c r="C228" s="1" t="n">
        <v>46194</v>
      </c>
      <c r="D228" t="inlineStr">
        <is>
          <t>SKÅNE LÄN</t>
        </is>
      </c>
      <c r="E228" t="inlineStr">
        <is>
          <t>ÖRKELLJUNGA</t>
        </is>
      </c>
      <c r="F228" t="inlineStr">
        <is>
          <t>Kommuner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5002-2026</t>
        </is>
      </c>
      <c r="B229" s="1" t="n">
        <v>46049</v>
      </c>
      <c r="C229" s="1" t="n">
        <v>46194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27497-2024</t>
        </is>
      </c>
      <c r="B230" s="1" t="n">
        <v>45474</v>
      </c>
      <c r="C230" s="1" t="n">
        <v>46194</v>
      </c>
      <c r="D230" t="inlineStr">
        <is>
          <t>SKÅNE LÄN</t>
        </is>
      </c>
      <c r="E230" t="inlineStr">
        <is>
          <t>ÖRKELLJUNGA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4989-2026</t>
        </is>
      </c>
      <c r="B231" s="1" t="n">
        <v>46049</v>
      </c>
      <c r="C231" s="1" t="n">
        <v>46194</v>
      </c>
      <c r="D231" t="inlineStr">
        <is>
          <t>SKÅNE LÄN</t>
        </is>
      </c>
      <c r="E231" t="inlineStr">
        <is>
          <t>ÖRKELLJUNGA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54646-2023</t>
        </is>
      </c>
      <c r="B232" s="1" t="n">
        <v>45235</v>
      </c>
      <c r="C232" s="1" t="n">
        <v>46194</v>
      </c>
      <c r="D232" t="inlineStr">
        <is>
          <t>SKÅNE LÄN</t>
        </is>
      </c>
      <c r="E232" t="inlineStr">
        <is>
          <t>ÖRKELLJUNGA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21910-2024</t>
        </is>
      </c>
      <c r="B233" s="1" t="n">
        <v>45443</v>
      </c>
      <c r="C233" s="1" t="n">
        <v>46194</v>
      </c>
      <c r="D233" t="inlineStr">
        <is>
          <t>SKÅNE LÄN</t>
        </is>
      </c>
      <c r="E233" t="inlineStr">
        <is>
          <t>ÖRKELLJUNGA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7242-2026</t>
        </is>
      </c>
      <c r="B234" s="1" t="n">
        <v>46058</v>
      </c>
      <c r="C234" s="1" t="n">
        <v>46194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7192-2026</t>
        </is>
      </c>
      <c r="B235" s="1" t="n">
        <v>46058</v>
      </c>
      <c r="C235" s="1" t="n">
        <v>46194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21152-2022</t>
        </is>
      </c>
      <c r="B236" s="1" t="n">
        <v>44704</v>
      </c>
      <c r="C236" s="1" t="n">
        <v>46194</v>
      </c>
      <c r="D236" t="inlineStr">
        <is>
          <t>SKÅNE LÄN</t>
        </is>
      </c>
      <c r="E236" t="inlineStr">
        <is>
          <t>ÖRKELLJUNGA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11121-2025</t>
        </is>
      </c>
      <c r="B237" s="1" t="n">
        <v>45723</v>
      </c>
      <c r="C237" s="1" t="n">
        <v>46194</v>
      </c>
      <c r="D237" t="inlineStr">
        <is>
          <t>SKÅNE LÄN</t>
        </is>
      </c>
      <c r="E237" t="inlineStr">
        <is>
          <t>ÖRKELLJUNGA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8024-2026</t>
        </is>
      </c>
      <c r="B238" s="1" t="n">
        <v>46063</v>
      </c>
      <c r="C238" s="1" t="n">
        <v>46194</v>
      </c>
      <c r="D238" t="inlineStr">
        <is>
          <t>SKÅNE LÄN</t>
        </is>
      </c>
      <c r="E238" t="inlineStr">
        <is>
          <t>ÖRKELLJUNGA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1492-2024</t>
        </is>
      </c>
      <c r="B239" s="1" t="n">
        <v>45305</v>
      </c>
      <c r="C239" s="1" t="n">
        <v>46194</v>
      </c>
      <c r="D239" t="inlineStr">
        <is>
          <t>SKÅNE LÄN</t>
        </is>
      </c>
      <c r="E239" t="inlineStr">
        <is>
          <t>ÖRKELLJUNGA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1493-2024</t>
        </is>
      </c>
      <c r="B240" s="1" t="n">
        <v>45305</v>
      </c>
      <c r="C240" s="1" t="n">
        <v>46194</v>
      </c>
      <c r="D240" t="inlineStr">
        <is>
          <t>SKÅNE LÄN</t>
        </is>
      </c>
      <c r="E240" t="inlineStr">
        <is>
          <t>ÖRKELLJUNGA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9573-2025</t>
        </is>
      </c>
      <c r="B241" s="1" t="n">
        <v>45715</v>
      </c>
      <c r="C241" s="1" t="n">
        <v>46194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55049-2023</t>
        </is>
      </c>
      <c r="B242" s="1" t="n">
        <v>45237</v>
      </c>
      <c r="C242" s="1" t="n">
        <v>46194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9292-2026</t>
        </is>
      </c>
      <c r="B243" s="1" t="n">
        <v>46070</v>
      </c>
      <c r="C243" s="1" t="n">
        <v>46194</v>
      </c>
      <c r="D243" t="inlineStr">
        <is>
          <t>SKÅNE LÄN</t>
        </is>
      </c>
      <c r="E243" t="inlineStr">
        <is>
          <t>ÖRKELLJUNGA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9125-2026</t>
        </is>
      </c>
      <c r="B244" s="1" t="n">
        <v>46069</v>
      </c>
      <c r="C244" s="1" t="n">
        <v>46194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9105-2026</t>
        </is>
      </c>
      <c r="B245" s="1" t="n">
        <v>46069</v>
      </c>
      <c r="C245" s="1" t="n">
        <v>46194</v>
      </c>
      <c r="D245" t="inlineStr">
        <is>
          <t>SKÅNE LÄN</t>
        </is>
      </c>
      <c r="E245" t="inlineStr">
        <is>
          <t>ÖRKELLJUNGA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10379-2024</t>
        </is>
      </c>
      <c r="B246" s="1" t="n">
        <v>45365</v>
      </c>
      <c r="C246" s="1" t="n">
        <v>46194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54661-2023</t>
        </is>
      </c>
      <c r="B247" s="1" t="n">
        <v>45235</v>
      </c>
      <c r="C247" s="1" t="n">
        <v>46194</v>
      </c>
      <c r="D247" t="inlineStr">
        <is>
          <t>SKÅNE LÄN</t>
        </is>
      </c>
      <c r="E247" t="inlineStr">
        <is>
          <t>ÖRKELLJUNGA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9127-2026</t>
        </is>
      </c>
      <c r="B248" s="1" t="n">
        <v>46069</v>
      </c>
      <c r="C248" s="1" t="n">
        <v>46194</v>
      </c>
      <c r="D248" t="inlineStr">
        <is>
          <t>SKÅNE LÄN</t>
        </is>
      </c>
      <c r="E248" t="inlineStr">
        <is>
          <t>ÖRKELLJUNGA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11605-2023</t>
        </is>
      </c>
      <c r="B249" s="1" t="n">
        <v>44994</v>
      </c>
      <c r="C249" s="1" t="n">
        <v>46194</v>
      </c>
      <c r="D249" t="inlineStr">
        <is>
          <t>SKÅNE LÄN</t>
        </is>
      </c>
      <c r="E249" t="inlineStr">
        <is>
          <t>ÖRKELLJUNGA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37501-2024</t>
        </is>
      </c>
      <c r="B250" s="1" t="n">
        <v>45541</v>
      </c>
      <c r="C250" s="1" t="n">
        <v>46194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10466-2026</t>
        </is>
      </c>
      <c r="B251" s="1" t="n">
        <v>46077</v>
      </c>
      <c r="C251" s="1" t="n">
        <v>46194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10473-2026</t>
        </is>
      </c>
      <c r="B252" s="1" t="n">
        <v>46077</v>
      </c>
      <c r="C252" s="1" t="n">
        <v>46194</v>
      </c>
      <c r="D252" t="inlineStr">
        <is>
          <t>SKÅNE LÄN</t>
        </is>
      </c>
      <c r="E252" t="inlineStr">
        <is>
          <t>ÖRKELLJUNGA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10480-2026</t>
        </is>
      </c>
      <c r="B253" s="1" t="n">
        <v>46077</v>
      </c>
      <c r="C253" s="1" t="n">
        <v>46194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15987-2025</t>
        </is>
      </c>
      <c r="B254" s="1" t="n">
        <v>45749</v>
      </c>
      <c r="C254" s="1" t="n">
        <v>46194</v>
      </c>
      <c r="D254" t="inlineStr">
        <is>
          <t>SKÅNE LÄN</t>
        </is>
      </c>
      <c r="E254" t="inlineStr">
        <is>
          <t>ÖRKELLJUNGA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50279-2023</t>
        </is>
      </c>
      <c r="B255" s="1" t="n">
        <v>45216</v>
      </c>
      <c r="C255" s="1" t="n">
        <v>46194</v>
      </c>
      <c r="D255" t="inlineStr">
        <is>
          <t>SKÅNE LÄN</t>
        </is>
      </c>
      <c r="E255" t="inlineStr">
        <is>
          <t>ÖRKELLJUNGA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30136-2022</t>
        </is>
      </c>
      <c r="B256" s="1" t="n">
        <v>44757</v>
      </c>
      <c r="C256" s="1" t="n">
        <v>46194</v>
      </c>
      <c r="D256" t="inlineStr">
        <is>
          <t>SKÅNE LÄN</t>
        </is>
      </c>
      <c r="E256" t="inlineStr">
        <is>
          <t>ÖRKELLJUNGA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13283-2026</t>
        </is>
      </c>
      <c r="B257" s="1" t="n">
        <v>46093</v>
      </c>
      <c r="C257" s="1" t="n">
        <v>46194</v>
      </c>
      <c r="D257" t="inlineStr">
        <is>
          <t>SKÅNE LÄN</t>
        </is>
      </c>
      <c r="E257" t="inlineStr">
        <is>
          <t>ÖRKELLJUNGA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32855-2023</t>
        </is>
      </c>
      <c r="B258" s="1" t="n">
        <v>45124</v>
      </c>
      <c r="C258" s="1" t="n">
        <v>46194</v>
      </c>
      <c r="D258" t="inlineStr">
        <is>
          <t>SKÅNE LÄN</t>
        </is>
      </c>
      <c r="E258" t="inlineStr">
        <is>
          <t>ÖRKELLJUNGA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3864-2023</t>
        </is>
      </c>
      <c r="B259" s="1" t="n">
        <v>44951</v>
      </c>
      <c r="C259" s="1" t="n">
        <v>46194</v>
      </c>
      <c r="D259" t="inlineStr">
        <is>
          <t>SKÅNE LÄN</t>
        </is>
      </c>
      <c r="E259" t="inlineStr">
        <is>
          <t>ÖRKELLJUNGA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14734-2026</t>
        </is>
      </c>
      <c r="B260" s="1" t="n">
        <v>46101</v>
      </c>
      <c r="C260" s="1" t="n">
        <v>46194</v>
      </c>
      <c r="D260" t="inlineStr">
        <is>
          <t>SKÅNE LÄN</t>
        </is>
      </c>
      <c r="E260" t="inlineStr">
        <is>
          <t>ÖRKELLJUNGA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15236-2026</t>
        </is>
      </c>
      <c r="B261" s="1" t="n">
        <v>46105</v>
      </c>
      <c r="C261" s="1" t="n">
        <v>46194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15240-2026</t>
        </is>
      </c>
      <c r="B262" s="1" t="n">
        <v>46105</v>
      </c>
      <c r="C262" s="1" t="n">
        <v>46194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15108-2026</t>
        </is>
      </c>
      <c r="B263" s="1" t="n">
        <v>46105</v>
      </c>
      <c r="C263" s="1" t="n">
        <v>46194</v>
      </c>
      <c r="D263" t="inlineStr">
        <is>
          <t>SKÅNE LÄN</t>
        </is>
      </c>
      <c r="E263" t="inlineStr">
        <is>
          <t>ÖRKELLJUNGA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15448-2026</t>
        </is>
      </c>
      <c r="B264" s="1" t="n">
        <v>46106</v>
      </c>
      <c r="C264" s="1" t="n">
        <v>46194</v>
      </c>
      <c r="D264" t="inlineStr">
        <is>
          <t>SKÅNE LÄN</t>
        </is>
      </c>
      <c r="E264" t="inlineStr">
        <is>
          <t>ÖRKELLJUNGA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16363-2026</t>
        </is>
      </c>
      <c r="B265" s="1" t="n">
        <v>46111</v>
      </c>
      <c r="C265" s="1" t="n">
        <v>46194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16283-2026</t>
        </is>
      </c>
      <c r="B266" s="1" t="n">
        <v>46111</v>
      </c>
      <c r="C266" s="1" t="n">
        <v>46194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22552-2026</t>
        </is>
      </c>
      <c r="B267" s="1" t="n">
        <v>46155</v>
      </c>
      <c r="C267" s="1" t="n">
        <v>46194</v>
      </c>
      <c r="D267" t="inlineStr">
        <is>
          <t>SKÅNE LÄN</t>
        </is>
      </c>
      <c r="E267" t="inlineStr">
        <is>
          <t>ÖRKELLJUNGA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17608-2026</t>
        </is>
      </c>
      <c r="B268" s="1" t="n">
        <v>46121</v>
      </c>
      <c r="C268" s="1" t="n">
        <v>46194</v>
      </c>
      <c r="D268" t="inlineStr">
        <is>
          <t>SKÅNE LÄN</t>
        </is>
      </c>
      <c r="E268" t="inlineStr">
        <is>
          <t>ÖRKELLJUNGA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18859-2026</t>
        </is>
      </c>
      <c r="B269" s="1" t="n">
        <v>46129</v>
      </c>
      <c r="C269" s="1" t="n">
        <v>46194</v>
      </c>
      <c r="D269" t="inlineStr">
        <is>
          <t>SKÅNE LÄN</t>
        </is>
      </c>
      <c r="E269" t="inlineStr">
        <is>
          <t>ÖRKELLJUNGA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22550-2026</t>
        </is>
      </c>
      <c r="B270" s="1" t="n">
        <v>46155</v>
      </c>
      <c r="C270" s="1" t="n">
        <v>46194</v>
      </c>
      <c r="D270" t="inlineStr">
        <is>
          <t>SKÅNE LÄN</t>
        </is>
      </c>
      <c r="E270" t="inlineStr">
        <is>
          <t>ÖRKELLJUNGA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25699-2026</t>
        </is>
      </c>
      <c r="B271" s="1" t="n">
        <v>46178</v>
      </c>
      <c r="C271" s="1" t="n">
        <v>46194</v>
      </c>
      <c r="D271" t="inlineStr">
        <is>
          <t>SKÅNE LÄN</t>
        </is>
      </c>
      <c r="E271" t="inlineStr">
        <is>
          <t>ÖRKELLJUNGA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981-2023</t>
        </is>
      </c>
      <c r="B272" s="1" t="n">
        <v>44935</v>
      </c>
      <c r="C272" s="1" t="n">
        <v>46194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25794-2026</t>
        </is>
      </c>
      <c r="B273" s="1" t="n">
        <v>46178</v>
      </c>
      <c r="C273" s="1" t="n">
        <v>46194</v>
      </c>
      <c r="D273" t="inlineStr">
        <is>
          <t>SKÅNE LÄN</t>
        </is>
      </c>
      <c r="E273" t="inlineStr">
        <is>
          <t>ÖRKELLJUNGA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25912-2026</t>
        </is>
      </c>
      <c r="B274" s="1" t="n">
        <v>46178</v>
      </c>
      <c r="C274" s="1" t="n">
        <v>46194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25674-2026</t>
        </is>
      </c>
      <c r="B275" s="1" t="n">
        <v>46178</v>
      </c>
      <c r="C275" s="1" t="n">
        <v>46194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25778-2026</t>
        </is>
      </c>
      <c r="B276" s="1" t="n">
        <v>46178</v>
      </c>
      <c r="C276" s="1" t="n">
        <v>46194</v>
      </c>
      <c r="D276" t="inlineStr">
        <is>
          <t>SKÅNE LÄN</t>
        </is>
      </c>
      <c r="E276" t="inlineStr">
        <is>
          <t>ÖRKELLJUNGA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25772-2026</t>
        </is>
      </c>
      <c r="B277" s="1" t="n">
        <v>46178</v>
      </c>
      <c r="C277" s="1" t="n">
        <v>46194</v>
      </c>
      <c r="D277" t="inlineStr">
        <is>
          <t>SKÅNE LÄN</t>
        </is>
      </c>
      <c r="E277" t="inlineStr">
        <is>
          <t>ÖRKELLJUNGA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25765-2026</t>
        </is>
      </c>
      <c r="B278" s="1" t="n">
        <v>46178</v>
      </c>
      <c r="C278" s="1" t="n">
        <v>46194</v>
      </c>
      <c r="D278" t="inlineStr">
        <is>
          <t>SKÅNE LÄN</t>
        </is>
      </c>
      <c r="E278" t="inlineStr">
        <is>
          <t>ÖRKELLJUNGA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25780-2026</t>
        </is>
      </c>
      <c r="B279" s="1" t="n">
        <v>46178</v>
      </c>
      <c r="C279" s="1" t="n">
        <v>46194</v>
      </c>
      <c r="D279" t="inlineStr">
        <is>
          <t>SKÅNE LÄN</t>
        </is>
      </c>
      <c r="E279" t="inlineStr">
        <is>
          <t>ÖRKELLJUNGA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25501-2026</t>
        </is>
      </c>
      <c r="B280" s="1" t="n">
        <v>46177</v>
      </c>
      <c r="C280" s="1" t="n">
        <v>46194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25789-2026</t>
        </is>
      </c>
      <c r="B281" s="1" t="n">
        <v>46178</v>
      </c>
      <c r="C281" s="1" t="n">
        <v>46194</v>
      </c>
      <c r="D281" t="inlineStr">
        <is>
          <t>SKÅNE LÄN</t>
        </is>
      </c>
      <c r="E281" t="inlineStr">
        <is>
          <t>ÖRKELLJUNGA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35489-2025</t>
        </is>
      </c>
      <c r="B282" s="1" t="n">
        <v>45855</v>
      </c>
      <c r="C282" s="1" t="n">
        <v>46194</v>
      </c>
      <c r="D282" t="inlineStr">
        <is>
          <t>SKÅNE LÄN</t>
        </is>
      </c>
      <c r="E282" t="inlineStr">
        <is>
          <t>ÖRKELLJUNGA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35490-2025</t>
        </is>
      </c>
      <c r="B283" s="1" t="n">
        <v>45855</v>
      </c>
      <c r="C283" s="1" t="n">
        <v>46194</v>
      </c>
      <c r="D283" t="inlineStr">
        <is>
          <t>SKÅNE LÄN</t>
        </is>
      </c>
      <c r="E283" t="inlineStr">
        <is>
          <t>ÖRKELLJUNGA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44864-2025</t>
        </is>
      </c>
      <c r="B284" s="1" t="n">
        <v>45918</v>
      </c>
      <c r="C284" s="1" t="n">
        <v>46194</v>
      </c>
      <c r="D284" t="inlineStr">
        <is>
          <t>SKÅNE LÄN</t>
        </is>
      </c>
      <c r="E284" t="inlineStr">
        <is>
          <t>ÖRKELLJUNGA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43992-2025</t>
        </is>
      </c>
      <c r="B285" s="1" t="n">
        <v>45915</v>
      </c>
      <c r="C285" s="1" t="n">
        <v>46194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13611-2025</t>
        </is>
      </c>
      <c r="B286" s="1" t="n">
        <v>45736</v>
      </c>
      <c r="C286" s="1" t="n">
        <v>46194</v>
      </c>
      <c r="D286" t="inlineStr">
        <is>
          <t>SKÅNE LÄN</t>
        </is>
      </c>
      <c r="E286" t="inlineStr">
        <is>
          <t>ÖRKELLJUNGA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3205-2025</t>
        </is>
      </c>
      <c r="B287" s="1" t="n">
        <v>45679</v>
      </c>
      <c r="C287" s="1" t="n">
        <v>46194</v>
      </c>
      <c r="D287" t="inlineStr">
        <is>
          <t>SKÅNE LÄN</t>
        </is>
      </c>
      <c r="E287" t="inlineStr">
        <is>
          <t>ÖRKELLJUNGA</t>
        </is>
      </c>
      <c r="F287" t="inlineStr">
        <is>
          <t>Kyrkan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2026-06-21T00:43:40Z</dcterms:created>
  <dcterms:modified xmlns:dcterms="http://purl.org/dc/terms/" xmlns:xsi="http://www.w3.org/2001/XMLSchema-instance" xsi:type="dcterms:W3CDTF">2026-06-21T00:43:41Z</dcterms:modified>
</cp:coreProperties>
</file>