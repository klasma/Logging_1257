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46220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s="2" t="inlineStr">
        <is>
          <t>Entita
Grönsångare
Mörk dunört
Svart skogssnigel
Svinrot
Älg
Spillkråka
Kungsfågel
Röd glada
Svartvit flugsnappare
Kopparödla
Vanlig padda
Vanlig snok</t>
        </is>
      </c>
      <c r="V2">
        <f>HYPERLINK("https://klasma.github.io/Logging_1257/artfynd/S 2212-2023 artfynd.xlsx", "S 2212-2023")</f>
        <v/>
      </c>
      <c r="W2">
        <f>HYPERLINK("https://klasma.github.io/Logging_1257/kartor/S 2212-2023 karta.png", "S 2212-2023")</f>
        <v/>
      </c>
      <c r="Y2">
        <f>HYPERLINK("https://klasma.github.io/Logging_1257/klagomål/S 2212-2023 FSC-klagomål.docx", "S 2212-2023")</f>
        <v/>
      </c>
      <c r="Z2">
        <f>HYPERLINK("https://klasma.github.io/Logging_1257/klagomålsmail/S 2212-2023 FSC-klagomål mail.docx", "S 2212-2023")</f>
        <v/>
      </c>
      <c r="AA2">
        <f>HYPERLINK("https://klasma.github.io/Logging_1257/tillsyn/S 2212-2023 tillsynsbegäran.docx", "S 2212-2023")</f>
        <v/>
      </c>
      <c r="AB2">
        <f>HYPERLINK("https://klasma.github.io/Logging_1257/tillsynsmail/S 2212-2023 tillsynsbegäran mail.docx", "S 2212-2023")</f>
        <v/>
      </c>
      <c r="AC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46220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s="2" t="inlineStr">
        <is>
          <t>Bokvårtlav
Dunmossa
Flikbålmossa
Gullpudra
Blåmossa
Blåsfliksmossa
Platt fjädermossa
Skogshakmossa
Skuggsprötmossa
Trubbfjädermossa
Västlig hakmossa
Västlig husmossa</t>
        </is>
      </c>
      <c r="V3">
        <f>HYPERLINK("https://klasma.github.io/Logging_1257/artfynd/S 2856-2024 artfynd.xlsx", "S 2856-2024")</f>
        <v/>
      </c>
      <c r="W3">
        <f>HYPERLINK("https://klasma.github.io/Logging_1257/kartor/S 2856-2024 karta.png", "S 2856-2024")</f>
        <v/>
      </c>
      <c r="Y3">
        <f>HYPERLINK("https://klasma.github.io/Logging_1257/klagomål/S 2856-2024 FSC-klagomål.docx", "S 2856-2024")</f>
        <v/>
      </c>
      <c r="Z3">
        <f>HYPERLINK("https://klasma.github.io/Logging_1257/klagomålsmail/S 2856-2024 FSC-klagomål mail.docx", "S 2856-2024")</f>
        <v/>
      </c>
      <c r="AA3">
        <f>HYPERLINK("https://klasma.github.io/Logging_1257/tillsyn/S 2856-2024 tillsynsbegäran.docx", "S 2856-2024")</f>
        <v/>
      </c>
      <c r="AB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46220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s="2" t="inlineStr">
        <is>
          <t>Bokkantlav
Bokvårtlav
Fjällsopp
Havstulpanlav
Mandelriska
Platt fjädermossa
Stor knopplav</t>
        </is>
      </c>
      <c r="V4">
        <f>HYPERLINK("https://klasma.github.io/Logging_1257/artfynd/A 47608-2022 artfynd.xlsx", "A 47608-2022")</f>
        <v/>
      </c>
      <c r="W4">
        <f>HYPERLINK("https://klasma.github.io/Logging_1257/kartor/A 47608-2022 karta.png", "A 47608-2022")</f>
        <v/>
      </c>
      <c r="Y4">
        <f>HYPERLINK("https://klasma.github.io/Logging_1257/klagomål/A 47608-2022 FSC-klagomål.docx", "A 47608-2022")</f>
        <v/>
      </c>
      <c r="Z4">
        <f>HYPERLINK("https://klasma.github.io/Logging_1257/klagomålsmail/A 47608-2022 FSC-klagomål mail.docx", "A 47608-2022")</f>
        <v/>
      </c>
      <c r="AA4">
        <f>HYPERLINK("https://klasma.github.io/Logging_1257/tillsyn/A 47608-2022 tillsynsbegäran.docx", "A 47608-2022")</f>
        <v/>
      </c>
      <c r="AB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46220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s="2" t="inlineStr">
        <is>
          <t>Gulsparv
Talltita
Nattskärra
Spillkråka
Kungsfågel
Orre</t>
        </is>
      </c>
      <c r="V5">
        <f>HYPERLINK("https://klasma.github.io/Logging_1257/artfynd/A 44382-2025 artfynd.xlsx", "A 44382-2025")</f>
        <v/>
      </c>
      <c r="W5">
        <f>HYPERLINK("https://klasma.github.io/Logging_1257/kartor/A 44382-2025 karta.png", "A 44382-2025")</f>
        <v/>
      </c>
      <c r="Y5">
        <f>HYPERLINK("https://klasma.github.io/Logging_1257/klagomål/A 44382-2025 FSC-klagomål.docx", "A 44382-2025")</f>
        <v/>
      </c>
      <c r="Z5">
        <f>HYPERLINK("https://klasma.github.io/Logging_1257/klagomålsmail/A 44382-2025 FSC-klagomål mail.docx", "A 44382-2025")</f>
        <v/>
      </c>
      <c r="AA5">
        <f>HYPERLINK("https://klasma.github.io/Logging_1257/tillsyn/A 44382-2025 tillsynsbegäran.docx", "A 44382-2025")</f>
        <v/>
      </c>
      <c r="AB5">
        <f>HYPERLINK("https://klasma.github.io/Logging_1257/tillsynsmail/A 44382-2025 tillsynsbegäran mail.docx", "A 44382-2025")</f>
        <v/>
      </c>
      <c r="AC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46220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s="2" t="inlineStr">
        <is>
          <t>Bokvårtlav
Lamellsnäcka
Havstulpanlav
Liten stinksvamp
Mandelriska
Platt fjädermossa</t>
        </is>
      </c>
      <c r="V6">
        <f>HYPERLINK("https://klasma.github.io/Logging_1257/artfynd/S 215-2023 artfynd.xlsx", "S 215-2023")</f>
        <v/>
      </c>
      <c r="W6">
        <f>HYPERLINK("https://klasma.github.io/Logging_1257/kartor/S 215-2023 karta.png", "S 215-2023")</f>
        <v/>
      </c>
      <c r="Y6">
        <f>HYPERLINK("https://klasma.github.io/Logging_1257/klagomål/S 215-2023 FSC-klagomål.docx", "S 215-2023")</f>
        <v/>
      </c>
      <c r="Z6">
        <f>HYPERLINK("https://klasma.github.io/Logging_1257/klagomålsmail/S 215-2023 FSC-klagomål mail.docx", "S 215-2023")</f>
        <v/>
      </c>
      <c r="AA6">
        <f>HYPERLINK("https://klasma.github.io/Logging_1257/tillsyn/S 215-2023 tillsynsbegäran.docx", "S 215-2023")</f>
        <v/>
      </c>
      <c r="AB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46220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s="2" t="inlineStr">
        <is>
          <t>Pulverädellav
Blåmossa
Gulnål
Stubbspretmossa
Västlig hakmossa</t>
        </is>
      </c>
      <c r="V7">
        <f>HYPERLINK("https://klasma.github.io/Logging_1257/artfynd/S 1651-2022 artfynd.xlsx", "S 1651-2022")</f>
        <v/>
      </c>
      <c r="W7">
        <f>HYPERLINK("https://klasma.github.io/Logging_1257/kartor/S 1651-2022 karta.png", "S 1651-2022")</f>
        <v/>
      </c>
      <c r="Y7">
        <f>HYPERLINK("https://klasma.github.io/Logging_1257/klagomål/S 1651-2022 FSC-klagomål.docx", "S 1651-2022")</f>
        <v/>
      </c>
      <c r="Z7">
        <f>HYPERLINK("https://klasma.github.io/Logging_1257/klagomålsmail/S 1651-2022 FSC-klagomål mail.docx", "S 1651-2022")</f>
        <v/>
      </c>
      <c r="AA7">
        <f>HYPERLINK("https://klasma.github.io/Logging_1257/tillsyn/S 1651-2022 tillsynsbegäran.docx", "S 1651-2022")</f>
        <v/>
      </c>
      <c r="AB7">
        <f>HYPERLINK("https://klasma.github.io/Logging_1257/tillsynsmail/S 1651-2022 tillsynsbegäran mail.docx", "S 1651-2022")</f>
        <v/>
      </c>
    </row>
    <row r="8" ht="15" customHeight="1">
      <c r="A8" t="inlineStr">
        <is>
          <t>A 5927-2023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44963</v>
      </c>
      <c r="E8" s="1" t="n">
        <v>46220</v>
      </c>
      <c r="F8" t="inlineStr">
        <is>
          <t>SKÅNE LÄN</t>
        </is>
      </c>
      <c r="G8" t="inlineStr">
        <is>
          <t>ÖRKELLJUNGA</t>
        </is>
      </c>
      <c r="I8" t="n">
        <v>0.9</v>
      </c>
      <c r="J8" t="n">
        <v>2</v>
      </c>
      <c r="K8" t="n">
        <v>0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4</v>
      </c>
      <c r="T8" t="n">
        <v>4</v>
      </c>
      <c r="U8" s="2" t="inlineStr">
        <is>
          <t>Skogsalm
Hussvala
Ladusvala
Svart skogssnigel</t>
        </is>
      </c>
      <c r="V8">
        <f>HYPERLINK("https://klasma.github.io/Logging_1257/artfynd/A 5927-2023 artfynd.xlsx", "A 5927-2023")</f>
        <v/>
      </c>
      <c r="W8">
        <f>HYPERLINK("https://klasma.github.io/Logging_1257/kartor/A 5927-2023 karta.png", "A 5927-2023")</f>
        <v/>
      </c>
      <c r="Y8">
        <f>HYPERLINK("https://klasma.github.io/Logging_1257/klagomål/A 5927-2023 FSC-klagomål.docx", "A 5927-2023")</f>
        <v/>
      </c>
      <c r="Z8">
        <f>HYPERLINK("https://klasma.github.io/Logging_1257/klagomålsmail/A 5927-2023 FSC-klagomål mail.docx", "A 5927-2023")</f>
        <v/>
      </c>
      <c r="AA8">
        <f>HYPERLINK("https://klasma.github.io/Logging_1257/tillsyn/A 5927-2023 tillsynsbegäran.docx", "A 5927-2023")</f>
        <v/>
      </c>
      <c r="AB8">
        <f>HYPERLINK("https://klasma.github.io/Logging_1257/tillsynsmail/A 5927-2023 tillsynsbegäran mail.docx", "A 5927-2023")</f>
        <v/>
      </c>
    </row>
    <row r="9" ht="15" customHeight="1">
      <c r="A9" t="inlineStr">
        <is>
          <t>A 39622-2023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46220</v>
      </c>
      <c r="F9" t="inlineStr">
        <is>
          <t>SKÅNE LÄN</t>
        </is>
      </c>
      <c r="G9" t="inlineStr">
        <is>
          <t>ÖRKELLJUNGA</t>
        </is>
      </c>
      <c r="I9" t="n">
        <v>10.7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s="2" t="inlineStr">
        <is>
          <t>Dvärghäxört
Skogsödla
Vanlig groda
Vanlig padda</t>
        </is>
      </c>
      <c r="V9">
        <f>HYPERLINK("https://klasma.github.io/Logging_1257/artfynd/A 39622-2023 artfynd.xlsx", "A 39622-2023")</f>
        <v/>
      </c>
      <c r="W9">
        <f>HYPERLINK("https://klasma.github.io/Logging_1257/kartor/A 39622-2023 karta.png", "A 39622-2023")</f>
        <v/>
      </c>
      <c r="Y9">
        <f>HYPERLINK("https://klasma.github.io/Logging_1257/klagomål/A 39622-2023 FSC-klagomål.docx", "A 39622-2023")</f>
        <v/>
      </c>
      <c r="Z9">
        <f>HYPERLINK("https://klasma.github.io/Logging_1257/klagomålsmail/A 39622-2023 FSC-klagomål mail.docx", "A 39622-2023")</f>
        <v/>
      </c>
      <c r="AA9">
        <f>HYPERLINK("https://klasma.github.io/Logging_1257/tillsyn/A 39622-2023 tillsynsbegäran.docx", "A 39622-2023")</f>
        <v/>
      </c>
      <c r="AB9">
        <f>HYPERLINK("https://klasma.github.io/Logging_1257/tillsynsmail/A 39622-2023 tillsynsbegäran mail.docx", "A 39622-2023")</f>
        <v/>
      </c>
    </row>
    <row r="10" ht="15" customHeight="1">
      <c r="A10" t="inlineStr">
        <is>
          <t>A 4112-2025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45684</v>
      </c>
      <c r="E10" s="1" t="n">
        <v>46220</v>
      </c>
      <c r="F10" t="inlineStr">
        <is>
          <t>SKÅNE LÄN</t>
        </is>
      </c>
      <c r="G10" t="inlineStr">
        <is>
          <t>ÖRKELLJUNGA</t>
        </is>
      </c>
      <c r="I10" t="n">
        <v>11.4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6</v>
      </c>
      <c r="U10" s="2" t="inlineStr">
        <is>
          <t>Småvänderot
Gröngöling
Utter
Vanlig padda</t>
        </is>
      </c>
      <c r="V10">
        <f>HYPERLINK("https://klasma.github.io/Logging_1257/artfynd/A 4112-2025 artfynd.xlsx", "A 4112-2025")</f>
        <v/>
      </c>
      <c r="W10">
        <f>HYPERLINK("https://klasma.github.io/Logging_1257/kartor/A 4112-2025 karta.png", "A 4112-2025")</f>
        <v/>
      </c>
      <c r="Y10">
        <f>HYPERLINK("https://klasma.github.io/Logging_1257/klagomål/A 4112-2025 FSC-klagomål.docx", "A 4112-2025")</f>
        <v/>
      </c>
      <c r="Z10">
        <f>HYPERLINK("https://klasma.github.io/Logging_1257/klagomålsmail/A 4112-2025 FSC-klagomål mail.docx", "A 4112-2025")</f>
        <v/>
      </c>
      <c r="AA10">
        <f>HYPERLINK("https://klasma.github.io/Logging_1257/tillsyn/A 4112-2025 tillsynsbegäran.docx", "A 4112-2025")</f>
        <v/>
      </c>
      <c r="AB10">
        <f>HYPERLINK("https://klasma.github.io/Logging_1257/tillsynsmail/A 4112-2025 tillsynsbegäran mail.docx", "A 4112-2025")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46220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s="2" t="inlineStr">
        <is>
          <t>Entita
Talltita
Kungsfågel</t>
        </is>
      </c>
      <c r="V11">
        <f>HYPERLINK("https://klasma.github.io/Logging_1257/artfynd/A 35245-2025 artfynd.xlsx", "A 35245-2025")</f>
        <v/>
      </c>
      <c r="W11">
        <f>HYPERLINK("https://klasma.github.io/Logging_1257/kartor/A 35245-2025 karta.png", "A 35245-2025")</f>
        <v/>
      </c>
      <c r="Y11">
        <f>HYPERLINK("https://klasma.github.io/Logging_1257/klagomål/A 35245-2025 FSC-klagomål.docx", "A 35245-2025")</f>
        <v/>
      </c>
      <c r="Z11">
        <f>HYPERLINK("https://klasma.github.io/Logging_1257/klagomålsmail/A 35245-2025 FSC-klagomål mail.docx", "A 35245-2025")</f>
        <v/>
      </c>
      <c r="AA11">
        <f>HYPERLINK("https://klasma.github.io/Logging_1257/tillsyn/A 35245-2025 tillsynsbegäran.docx", "A 35245-2025")</f>
        <v/>
      </c>
      <c r="AB11">
        <f>HYPERLINK("https://klasma.github.io/Logging_1257/tillsynsmail/A 35245-2025 tillsynsbegäran mail.docx", "A 35245-2025")</f>
        <v/>
      </c>
      <c r="AC11">
        <f>HYPERLINK("https://klasma.github.io/Logging_1257/fåglar/A 35245-2025 prioriterade fågelarter.docx", "A 35245-2025")</f>
        <v/>
      </c>
    </row>
    <row r="12" ht="15" customHeight="1">
      <c r="A12" t="inlineStr">
        <is>
          <t>A 31926-2024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46220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9</v>
      </c>
      <c r="U12" s="2" t="inlineStr">
        <is>
          <t>Havstulpanlav
Klippfrullania
Västlig hakmossa</t>
        </is>
      </c>
      <c r="V12">
        <f>HYPERLINK("https://klasma.github.io/Logging_1257/artfynd/A 31926-2024 artfynd.xlsx", "A 31926-2024")</f>
        <v/>
      </c>
      <c r="W12">
        <f>HYPERLINK("https://klasma.github.io/Logging_1257/kartor/A 31926-2024 karta.png", "A 31926-2024")</f>
        <v/>
      </c>
      <c r="Y12">
        <f>HYPERLINK("https://klasma.github.io/Logging_1257/klagomål/A 31926-2024 FSC-klagomål.docx", "A 31926-2024")</f>
        <v/>
      </c>
      <c r="Z12">
        <f>HYPERLINK("https://klasma.github.io/Logging_1257/klagomålsmail/A 31926-2024 FSC-klagomål mail.docx", "A 31926-2024")</f>
        <v/>
      </c>
      <c r="AA12">
        <f>HYPERLINK("https://klasma.github.io/Logging_1257/tillsyn/A 31926-2024 tillsynsbegäran.docx", "A 31926-2024")</f>
        <v/>
      </c>
      <c r="AB12">
        <f>HYPERLINK("https://klasma.github.io/Logging_1257/tillsynsmail/A 31926-2024 tillsynsbegäran mail.docx", "A 31926-2024")</f>
        <v/>
      </c>
    </row>
    <row r="13" ht="15" customHeight="1">
      <c r="A13" t="inlineStr">
        <is>
          <t>A 25960-2023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45090</v>
      </c>
      <c r="E13" s="1" t="n">
        <v>46220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s="2" t="inlineStr">
        <is>
          <t>Bokkantlav
Guldlockmossa
Platt fjädermossa</t>
        </is>
      </c>
      <c r="V13">
        <f>HYPERLINK("https://klasma.github.io/Logging_1257/artfynd/A 25960-2023 artfynd.xlsx", "A 25960-2023")</f>
        <v/>
      </c>
      <c r="W13">
        <f>HYPERLINK("https://klasma.github.io/Logging_1257/kartor/A 25960-2023 karta.png", "A 25960-2023")</f>
        <v/>
      </c>
      <c r="Y13">
        <f>HYPERLINK("https://klasma.github.io/Logging_1257/klagomål/A 25960-2023 FSC-klagomål.docx", "A 25960-2023")</f>
        <v/>
      </c>
      <c r="Z13">
        <f>HYPERLINK("https://klasma.github.io/Logging_1257/klagomålsmail/A 25960-2023 FSC-klagomål mail.docx", "A 25960-2023")</f>
        <v/>
      </c>
      <c r="AA13">
        <f>HYPERLINK("https://klasma.github.io/Logging_1257/tillsyn/A 25960-2023 tillsynsbegäran.docx", "A 25960-2023")</f>
        <v/>
      </c>
      <c r="AB13">
        <f>HYPERLINK("https://klasma.github.io/Logging_1257/tillsynsmail/A 25960-2023 tillsynsbegäran mail.docx", "A 25960-2023")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46220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s="2" t="inlineStr">
        <is>
          <t>Bokvårtlav
Fällmossa
Kungsfågel</t>
        </is>
      </c>
      <c r="V14">
        <f>HYPERLINK("https://klasma.github.io/Logging_1257/artfynd/S 291-2026 artfynd.xlsx", "S 291-2026")</f>
        <v/>
      </c>
      <c r="W14">
        <f>HYPERLINK("https://klasma.github.io/Logging_1257/kartor/S 291-2026 karta.png", "S 291-2026")</f>
        <v/>
      </c>
      <c r="Y14">
        <f>HYPERLINK("https://klasma.github.io/Logging_1257/klagomål/S 291-2026 FSC-klagomål.docx", "S 291-2026")</f>
        <v/>
      </c>
      <c r="Z14">
        <f>HYPERLINK("https://klasma.github.io/Logging_1257/klagomålsmail/S 291-2026 FSC-klagomål mail.docx", "S 291-2026")</f>
        <v/>
      </c>
      <c r="AA14">
        <f>HYPERLINK("https://klasma.github.io/Logging_1257/tillsyn/S 291-2026 tillsynsbegäran.docx", "S 291-2026")</f>
        <v/>
      </c>
      <c r="AB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46220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s="2" t="inlineStr">
        <is>
          <t>Kambräken
Skuggmossa
Stubbspretmossa</t>
        </is>
      </c>
      <c r="V15">
        <f>HYPERLINK("https://klasma.github.io/Logging_1257/artfynd/S 1335-2026 artfynd.xlsx", "S 1335-2026")</f>
        <v/>
      </c>
      <c r="W15">
        <f>HYPERLINK("https://klasma.github.io/Logging_1257/kartor/S 1335-2026 karta.png", "S 1335-2026")</f>
        <v/>
      </c>
      <c r="Y15">
        <f>HYPERLINK("https://klasma.github.io/Logging_1257/klagomål/S 1335-2026 FSC-klagomål.docx", "S 1335-2026")</f>
        <v/>
      </c>
      <c r="Z15">
        <f>HYPERLINK("https://klasma.github.io/Logging_1257/klagomålsmail/S 1335-2026 FSC-klagomål mail.docx", "S 1335-2026")</f>
        <v/>
      </c>
      <c r="AA15">
        <f>HYPERLINK("https://klasma.github.io/Logging_1257/tillsyn/S 1335-2026 tillsynsbegäran.docx", "S 1335-2026")</f>
        <v/>
      </c>
      <c r="AB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46220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s="2" t="inlineStr">
        <is>
          <t>Bokvårtlav
Sydlig sotticka</t>
        </is>
      </c>
      <c r="V16">
        <f>HYPERLINK("https://klasma.github.io/Logging_1257/artfynd/A 11970-2022 artfynd.xlsx", "A 11970-2022")</f>
        <v/>
      </c>
      <c r="W16">
        <f>HYPERLINK("https://klasma.github.io/Logging_1257/kartor/A 11970-2022 karta.png", "A 11970-2022")</f>
        <v/>
      </c>
      <c r="Y16">
        <f>HYPERLINK("https://klasma.github.io/Logging_1257/klagomål/A 11970-2022 FSC-klagomål.docx", "A 11970-2022")</f>
        <v/>
      </c>
      <c r="Z16">
        <f>HYPERLINK("https://klasma.github.io/Logging_1257/klagomålsmail/A 11970-2022 FSC-klagomål mail.docx", "A 11970-2022")</f>
        <v/>
      </c>
      <c r="AA16">
        <f>HYPERLINK("https://klasma.github.io/Logging_1257/tillsyn/A 11970-2022 tillsynsbegäran.docx", "A 11970-2022")</f>
        <v/>
      </c>
      <c r="AB16">
        <f>HYPERLINK("https://klasma.github.io/Logging_1257/tillsynsmail/A 11970-2022 tillsynsbegäran mail.docx", "A 11970-2022")</f>
        <v/>
      </c>
    </row>
    <row r="17" ht="15" customHeight="1">
      <c r="A17" t="inlineStr">
        <is>
          <t>A 50629-2025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45945</v>
      </c>
      <c r="E17" s="1" t="n">
        <v>46220</v>
      </c>
      <c r="F17" t="inlineStr">
        <is>
          <t>SKÅNE LÄN</t>
        </is>
      </c>
      <c r="G17" t="inlineStr">
        <is>
          <t>ÖRKELLJUNGA</t>
        </is>
      </c>
      <c r="I17" t="n">
        <v>6.3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Spillkråka
Röd glada</t>
        </is>
      </c>
      <c r="V17">
        <f>HYPERLINK("https://klasma.github.io/Logging_1257/artfynd/A 50629-2025 artfynd.xlsx", "A 50629-2025")</f>
        <v/>
      </c>
      <c r="W17">
        <f>HYPERLINK("https://klasma.github.io/Logging_1257/kartor/A 50629-2025 karta.png", "A 50629-2025")</f>
        <v/>
      </c>
      <c r="Y17">
        <f>HYPERLINK("https://klasma.github.io/Logging_1257/klagomål/A 50629-2025 FSC-klagomål.docx", "A 50629-2025")</f>
        <v/>
      </c>
      <c r="Z17">
        <f>HYPERLINK("https://klasma.github.io/Logging_1257/klagomålsmail/A 50629-2025 FSC-klagomål mail.docx", "A 50629-2025")</f>
        <v/>
      </c>
      <c r="AA17">
        <f>HYPERLINK("https://klasma.github.io/Logging_1257/tillsyn/A 50629-2025 tillsynsbegäran.docx", "A 50629-2025")</f>
        <v/>
      </c>
      <c r="AB17">
        <f>HYPERLINK("https://klasma.github.io/Logging_1257/tillsynsmail/A 50629-2025 tillsynsbegäran mail.docx", "A 50629-2025")</f>
        <v/>
      </c>
      <c r="AC17">
        <f>HYPERLINK("https://klasma.github.io/Logging_1257/fåglar/A 50629-2025 prioriterade fågelarter.docx", "A 50629-2025")</f>
        <v/>
      </c>
    </row>
    <row r="18" ht="15" customHeight="1">
      <c r="A18" t="inlineStr">
        <is>
          <t>A 26585-2026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46183</v>
      </c>
      <c r="E18" s="1" t="n">
        <v>46220</v>
      </c>
      <c r="F18" t="inlineStr">
        <is>
          <t>SKÅNE LÄN</t>
        </is>
      </c>
      <c r="G18" t="inlineStr">
        <is>
          <t>ÖRKELLJUNGA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Spillkråka
Röd glada</t>
        </is>
      </c>
      <c r="V18">
        <f>HYPERLINK("https://klasma.github.io/Logging_1257/artfynd/A 26585-2026 artfynd.xlsx", "A 26585-2026")</f>
        <v/>
      </c>
      <c r="W18">
        <f>HYPERLINK("https://klasma.github.io/Logging_1257/kartor/A 26585-2026 karta.png", "A 26585-2026")</f>
        <v/>
      </c>
      <c r="Y18">
        <f>HYPERLINK("https://klasma.github.io/Logging_1257/klagomål/A 26585-2026 FSC-klagomål.docx", "A 26585-2026")</f>
        <v/>
      </c>
      <c r="Z18">
        <f>HYPERLINK("https://klasma.github.io/Logging_1257/klagomålsmail/A 26585-2026 FSC-klagomål mail.docx", "A 26585-2026")</f>
        <v/>
      </c>
      <c r="AA18">
        <f>HYPERLINK("https://klasma.github.io/Logging_1257/tillsyn/A 26585-2026 tillsynsbegäran.docx", "A 26585-2026")</f>
        <v/>
      </c>
      <c r="AB18">
        <f>HYPERLINK("https://klasma.github.io/Logging_1257/tillsynsmail/A 26585-2026 tillsynsbegäran mail.docx", "A 26585-2026")</f>
        <v/>
      </c>
      <c r="AC18">
        <f>HYPERLINK("https://klasma.github.io/Logging_1257/fåglar/A 26585-2026 prioriterade fågelarter.docx", "A 26585-2026")</f>
        <v/>
      </c>
    </row>
    <row r="19" ht="15" customHeight="1">
      <c r="A19" t="inlineStr">
        <is>
          <t>A 60271-2024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45642</v>
      </c>
      <c r="E19" s="1" t="n">
        <v>46220</v>
      </c>
      <c r="F19" t="inlineStr">
        <is>
          <t>SKÅNE LÄN</t>
        </is>
      </c>
      <c r="G19" t="inlineStr">
        <is>
          <t>ÖRKELLJUNGA</t>
        </is>
      </c>
      <c r="I19" t="n">
        <v>1.8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s="2" t="inlineStr">
        <is>
          <t>Vanlig padda
Vanlig snok</t>
        </is>
      </c>
      <c r="V19">
        <f>HYPERLINK("https://klasma.github.io/Logging_1257/artfynd/A 60271-2024 artfynd.xlsx", "A 60271-2024")</f>
        <v/>
      </c>
      <c r="W19">
        <f>HYPERLINK("https://klasma.github.io/Logging_1257/kartor/A 60271-2024 karta.png", "A 60271-2024")</f>
        <v/>
      </c>
      <c r="Y19">
        <f>HYPERLINK("https://klasma.github.io/Logging_1257/klagomål/A 60271-2024 FSC-klagomål.docx", "A 60271-2024")</f>
        <v/>
      </c>
      <c r="Z19">
        <f>HYPERLINK("https://klasma.github.io/Logging_1257/klagomålsmail/A 60271-2024 FSC-klagomål mail.docx", "A 60271-2024")</f>
        <v/>
      </c>
      <c r="AA19">
        <f>HYPERLINK("https://klasma.github.io/Logging_1257/tillsyn/A 60271-2024 tillsynsbegäran.docx", "A 60271-2024")</f>
        <v/>
      </c>
      <c r="AB19">
        <f>HYPERLINK("https://klasma.github.io/Logging_1257/tillsynsmail/A 60271-2024 tillsynsbegäran mail.docx", "A 60271-2024")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46220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Skogsduva
Trana</t>
        </is>
      </c>
      <c r="V20">
        <f>HYPERLINK("https://klasma.github.io/Logging_1257/artfynd/S 2558-2023 artfynd.xlsx", "S 2558-2023")</f>
        <v/>
      </c>
      <c r="W20">
        <f>HYPERLINK("https://klasma.github.io/Logging_1257/kartor/S 2558-2023 karta.png", "S 2558-2023")</f>
        <v/>
      </c>
      <c r="Y20">
        <f>HYPERLINK("https://klasma.github.io/Logging_1257/klagomål/S 2558-2023 FSC-klagomål.docx", "S 2558-2023")</f>
        <v/>
      </c>
      <c r="Z20">
        <f>HYPERLINK("https://klasma.github.io/Logging_1257/klagomålsmail/S 2558-2023 FSC-klagomål mail.docx", "S 2558-2023")</f>
        <v/>
      </c>
      <c r="AA20">
        <f>HYPERLINK("https://klasma.github.io/Logging_1257/tillsyn/S 2558-2023 tillsynsbegäran.docx", "S 2558-2023")</f>
        <v/>
      </c>
      <c r="AB20">
        <f>HYPERLINK("https://klasma.github.io/Logging_1257/tillsynsmail/S 2558-2023 tillsynsbegäran mail.docx", "S 2558-2023")</f>
        <v/>
      </c>
      <c r="AC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46220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s="2" t="inlineStr">
        <is>
          <t>Fjällsopp
Spillkråka</t>
        </is>
      </c>
      <c r="V21">
        <f>HYPERLINK("https://klasma.github.io/Logging_1257/artfynd/S 3934-2023 artfynd.xlsx", "S 3934-2023")</f>
        <v/>
      </c>
      <c r="W21">
        <f>HYPERLINK("https://klasma.github.io/Logging_1257/kartor/S 3934-2023 karta.png", "S 3934-2023")</f>
        <v/>
      </c>
      <c r="Y21">
        <f>HYPERLINK("https://klasma.github.io/Logging_1257/klagomål/S 3934-2023 FSC-klagomål.docx", "S 3934-2023")</f>
        <v/>
      </c>
      <c r="Z21">
        <f>HYPERLINK("https://klasma.github.io/Logging_1257/klagomålsmail/S 3934-2023 FSC-klagomål mail.docx", "S 3934-2023")</f>
        <v/>
      </c>
      <c r="AA21">
        <f>HYPERLINK("https://klasma.github.io/Logging_1257/tillsyn/S 3934-2023 tillsynsbegäran.docx", "S 3934-2023")</f>
        <v/>
      </c>
      <c r="AB21">
        <f>HYPERLINK("https://klasma.github.io/Logging_1257/tillsynsmail/S 3934-2023 tillsynsbegäran mail.docx", "S 3934-2023")</f>
        <v/>
      </c>
      <c r="AC21">
        <f>HYPERLINK("https://klasma.github.io/Logging_1257/fåglar/S 3934-2023 prioriterade fågelarter.docx", "S 3934-2023")</f>
        <v/>
      </c>
    </row>
    <row r="22" ht="15" customHeight="1">
      <c r="A22" t="inlineStr">
        <is>
          <t>S 6480-2021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44449</v>
      </c>
      <c r="E22" s="1" t="n">
        <v>46220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s="2" t="inlineStr">
        <is>
          <t>Fjällsopp
Spillkråka</t>
        </is>
      </c>
      <c r="V22">
        <f>HYPERLINK("https://klasma.github.io/Logging_1257/artfynd/S 6480-2021 artfynd.xlsx", "S 6480-2021")</f>
        <v/>
      </c>
      <c r="W22">
        <f>HYPERLINK("https://klasma.github.io/Logging_1257/kartor/S 6480-2021 karta.png", "S 6480-2021")</f>
        <v/>
      </c>
      <c r="Y22">
        <f>HYPERLINK("https://klasma.github.io/Logging_1257/klagomål/S 6480-2021 FSC-klagomål.docx", "S 6480-2021")</f>
        <v/>
      </c>
      <c r="Z22">
        <f>HYPERLINK("https://klasma.github.io/Logging_1257/klagomålsmail/S 6480-2021 FSC-klagomål mail.docx", "S 6480-2021")</f>
        <v/>
      </c>
      <c r="AA22">
        <f>HYPERLINK("https://klasma.github.io/Logging_1257/tillsyn/S 6480-2021 tillsynsbegäran.docx", "S 6480-2021")</f>
        <v/>
      </c>
      <c r="AB22">
        <f>HYPERLINK("https://klasma.github.io/Logging_1257/tillsynsmail/S 6480-2021 tillsynsbegäran mail.docx", "S 6480-2021")</f>
        <v/>
      </c>
      <c r="AC22">
        <f>HYPERLINK("https://klasma.github.io/Logging_1257/fåglar/S 6480-2021 prioriterade fågelarter.docx", "S 6480-2021")</f>
        <v/>
      </c>
    </row>
    <row r="23" ht="15" customHeight="1">
      <c r="A23" t="inlineStr">
        <is>
          <t>A 65473-2021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44516</v>
      </c>
      <c r="E23" s="1" t="n">
        <v>46220</v>
      </c>
      <c r="F23" t="inlineStr">
        <is>
          <t>SKÅNE LÄN</t>
        </is>
      </c>
      <c r="G23" t="inlineStr">
        <is>
          <t>ÖRKELLJUNGA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Blåmossa</t>
        </is>
      </c>
      <c r="V23">
        <f>HYPERLINK("https://klasma.github.io/Logging_1257/artfynd/A 65473-2021 artfynd.xlsx", "A 65473-2021")</f>
        <v/>
      </c>
      <c r="W23">
        <f>HYPERLINK("https://klasma.github.io/Logging_1257/kartor/A 65473-2021 karta.png", "A 65473-2021")</f>
        <v/>
      </c>
      <c r="Y23">
        <f>HYPERLINK("https://klasma.github.io/Logging_1257/klagomål/A 65473-2021 FSC-klagomål.docx", "A 65473-2021")</f>
        <v/>
      </c>
      <c r="Z23">
        <f>HYPERLINK("https://klasma.github.io/Logging_1257/klagomålsmail/A 65473-2021 FSC-klagomål mail.docx", "A 65473-2021")</f>
        <v/>
      </c>
      <c r="AA23">
        <f>HYPERLINK("https://klasma.github.io/Logging_1257/tillsyn/A 65473-2021 tillsynsbegäran.docx", "A 65473-2021")</f>
        <v/>
      </c>
      <c r="AB23">
        <f>HYPERLINK("https://klasma.github.io/Logging_1257/tillsynsmail/A 65473-2021 tillsynsbegäran mail.docx", "A 65473-2021")</f>
        <v/>
      </c>
    </row>
    <row r="24" ht="15" customHeight="1">
      <c r="A24" t="inlineStr">
        <is>
          <t>A 1604-2025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45670</v>
      </c>
      <c r="E24" s="1" t="n">
        <v>46220</v>
      </c>
      <c r="F24" t="inlineStr">
        <is>
          <t>SKÅNE LÄN</t>
        </is>
      </c>
      <c r="G24" t="inlineStr">
        <is>
          <t>ÖRKELLJUNGA</t>
        </is>
      </c>
      <c r="H24" t="inlineStr">
        <is>
          <t>Kommuner</t>
        </is>
      </c>
      <c r="I24" t="n">
        <v>7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Igelkott</t>
        </is>
      </c>
      <c r="V24">
        <f>HYPERLINK("https://klasma.github.io/Logging_1257/artfynd/A 1604-2025 artfynd.xlsx", "A 1604-2025")</f>
        <v/>
      </c>
      <c r="W24">
        <f>HYPERLINK("https://klasma.github.io/Logging_1257/kartor/A 1604-2025 karta.png", "A 1604-2025")</f>
        <v/>
      </c>
      <c r="Y24">
        <f>HYPERLINK("https://klasma.github.io/Logging_1257/klagomål/A 1604-2025 FSC-klagomål.docx", "A 1604-2025")</f>
        <v/>
      </c>
      <c r="Z24">
        <f>HYPERLINK("https://klasma.github.io/Logging_1257/klagomålsmail/A 1604-2025 FSC-klagomål mail.docx", "A 1604-2025")</f>
        <v/>
      </c>
      <c r="AA24">
        <f>HYPERLINK("https://klasma.github.io/Logging_1257/tillsyn/A 1604-2025 tillsynsbegäran.docx", "A 1604-2025")</f>
        <v/>
      </c>
      <c r="AB24">
        <f>HYPERLINK("https://klasma.github.io/Logging_1257/tillsynsmail/A 1604-2025 tillsynsbegäran mail.docx", "A 1604-2025")</f>
        <v/>
      </c>
    </row>
    <row r="25" ht="15" customHeight="1">
      <c r="A25" t="inlineStr">
        <is>
          <t>A 6137-2024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45337</v>
      </c>
      <c r="E25" s="1" t="n">
        <v>46220</v>
      </c>
      <c r="F25" t="inlineStr">
        <is>
          <t>SKÅNE LÄN</t>
        </is>
      </c>
      <c r="G25" t="inlineStr">
        <is>
          <t>ÖRKELLJUNGA</t>
        </is>
      </c>
      <c r="I25" t="n">
        <v>11.7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s="2" t="inlineStr">
        <is>
          <t>Skorpplätt</t>
        </is>
      </c>
      <c r="V25">
        <f>HYPERLINK("https://klasma.github.io/Logging_1257/artfynd/A 6137-2024 artfynd.xlsx", "A 6137-2024")</f>
        <v/>
      </c>
      <c r="W25">
        <f>HYPERLINK("https://klasma.github.io/Logging_1257/kartor/A 6137-2024 karta.png", "A 6137-2024")</f>
        <v/>
      </c>
      <c r="Y25">
        <f>HYPERLINK("https://klasma.github.io/Logging_1257/klagomål/A 6137-2024 FSC-klagomål.docx", "A 6137-2024")</f>
        <v/>
      </c>
      <c r="Z25">
        <f>HYPERLINK("https://klasma.github.io/Logging_1257/klagomålsmail/A 6137-2024 FSC-klagomål mail.docx", "A 6137-2024")</f>
        <v/>
      </c>
      <c r="AA25">
        <f>HYPERLINK("https://klasma.github.io/Logging_1257/tillsyn/A 6137-2024 tillsynsbegäran.docx", "A 6137-2024")</f>
        <v/>
      </c>
      <c r="AB25">
        <f>HYPERLINK("https://klasma.github.io/Logging_1257/tillsynsmail/A 6137-2024 tillsynsbegäran mail.docx", "A 6137-2024")</f>
        <v/>
      </c>
    </row>
    <row r="26" ht="15" customHeight="1">
      <c r="A26" t="inlineStr">
        <is>
          <t>A 57429-2025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45980</v>
      </c>
      <c r="E26" s="1" t="n">
        <v>46220</v>
      </c>
      <c r="F26" t="inlineStr">
        <is>
          <t>SKÅNE LÄN</t>
        </is>
      </c>
      <c r="G26" t="inlineStr">
        <is>
          <t>ÖRKELLJUNGA</t>
        </is>
      </c>
      <c r="I26" t="n">
        <v>2.8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s="2" t="inlineStr">
        <is>
          <t>Slåttergubbe</t>
        </is>
      </c>
      <c r="V26">
        <f>HYPERLINK("https://klasma.github.io/Logging_1257/artfynd/A 57429-2025 artfynd.xlsx", "A 57429-2025")</f>
        <v/>
      </c>
      <c r="W26">
        <f>HYPERLINK("https://klasma.github.io/Logging_1257/kartor/A 57429-2025 karta.png", "A 57429-2025")</f>
        <v/>
      </c>
      <c r="Y26">
        <f>HYPERLINK("https://klasma.github.io/Logging_1257/klagomål/A 57429-2025 FSC-klagomål.docx", "A 57429-2025")</f>
        <v/>
      </c>
      <c r="Z26">
        <f>HYPERLINK("https://klasma.github.io/Logging_1257/klagomålsmail/A 57429-2025 FSC-klagomål mail.docx", "A 57429-2025")</f>
        <v/>
      </c>
      <c r="AA26">
        <f>HYPERLINK("https://klasma.github.io/Logging_1257/tillsyn/A 57429-2025 tillsynsbegäran.docx", "A 57429-2025")</f>
        <v/>
      </c>
      <c r="AB26">
        <f>HYPERLINK("https://klasma.github.io/Logging_1257/tillsynsmail/A 57429-2025 tillsynsbegäran mail.docx", "A 57429-2025")</f>
        <v/>
      </c>
    </row>
    <row r="27" ht="15" customHeight="1">
      <c r="A27" t="inlineStr">
        <is>
          <t>A 15068-2023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45015</v>
      </c>
      <c r="E27" s="1" t="n">
        <v>46220</v>
      </c>
      <c r="F27" t="inlineStr">
        <is>
          <t>SKÅNE LÄN</t>
        </is>
      </c>
      <c r="G27" t="inlineStr">
        <is>
          <t>ÖRKELLJUNGA</t>
        </is>
      </c>
      <c r="I27" t="n">
        <v>9.9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Kambräken</t>
        </is>
      </c>
      <c r="V27">
        <f>HYPERLINK("https://klasma.github.io/Logging_1257/artfynd/A 15068-2023 artfynd.xlsx", "A 15068-2023")</f>
        <v/>
      </c>
      <c r="W27">
        <f>HYPERLINK("https://klasma.github.io/Logging_1257/kartor/A 15068-2023 karta.png", "A 15068-2023")</f>
        <v/>
      </c>
      <c r="Y27">
        <f>HYPERLINK("https://klasma.github.io/Logging_1257/klagomål/A 15068-2023 FSC-klagomål.docx", "A 15068-2023")</f>
        <v/>
      </c>
      <c r="Z27">
        <f>HYPERLINK("https://klasma.github.io/Logging_1257/klagomålsmail/A 15068-2023 FSC-klagomål mail.docx", "A 15068-2023")</f>
        <v/>
      </c>
      <c r="AA27">
        <f>HYPERLINK("https://klasma.github.io/Logging_1257/tillsyn/A 15068-2023 tillsynsbegäran.docx", "A 15068-2023")</f>
        <v/>
      </c>
      <c r="AB27">
        <f>HYPERLINK("https://klasma.github.io/Logging_1257/tillsynsmail/A 15068-2023 tillsynsbegäran mail.docx", "A 15068-2023")</f>
        <v/>
      </c>
    </row>
    <row r="28" ht="15" customHeight="1">
      <c r="A28" t="inlineStr">
        <is>
          <t>A 10496-2026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46076</v>
      </c>
      <c r="E28" s="1" t="n">
        <v>46220</v>
      </c>
      <c r="F28" t="inlineStr">
        <is>
          <t>SKÅNE LÄN</t>
        </is>
      </c>
      <c r="G28" t="inlineStr">
        <is>
          <t>ÖRKELLJUNGA</t>
        </is>
      </c>
      <c r="I28" t="n">
        <v>0.7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Skogsödla</t>
        </is>
      </c>
      <c r="V28">
        <f>HYPERLINK("https://klasma.github.io/Logging_1257/artfynd/A 10496-2026 artfynd.xlsx", "A 10496-2026")</f>
        <v/>
      </c>
      <c r="W28">
        <f>HYPERLINK("https://klasma.github.io/Logging_1257/kartor/A 10496-2026 karta.png", "A 10496-2026")</f>
        <v/>
      </c>
      <c r="Y28">
        <f>HYPERLINK("https://klasma.github.io/Logging_1257/klagomål/A 10496-2026 FSC-klagomål.docx", "A 10496-2026")</f>
        <v/>
      </c>
      <c r="Z28">
        <f>HYPERLINK("https://klasma.github.io/Logging_1257/klagomålsmail/A 10496-2026 FSC-klagomål mail.docx", "A 10496-2026")</f>
        <v/>
      </c>
      <c r="AA28">
        <f>HYPERLINK("https://klasma.github.io/Logging_1257/tillsyn/A 10496-2026 tillsynsbegäran.docx", "A 10496-2026")</f>
        <v/>
      </c>
      <c r="AB28">
        <f>HYPERLINK("https://klasma.github.io/Logging_1257/tillsynsmail/A 10496-2026 tillsynsbegäran mail.docx", "A 10496-2026")</f>
        <v/>
      </c>
    </row>
    <row r="29" ht="15" customHeight="1">
      <c r="A29" t="inlineStr">
        <is>
          <t>A 22410-2024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45446</v>
      </c>
      <c r="E29" s="1" t="n">
        <v>46220</v>
      </c>
      <c r="F29" t="inlineStr">
        <is>
          <t>SKÅNE LÄN</t>
        </is>
      </c>
      <c r="G29" t="inlineStr">
        <is>
          <t>ÖRKELLJUNGA</t>
        </is>
      </c>
      <c r="I29" t="n">
        <v>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Revlummer</t>
        </is>
      </c>
      <c r="V29">
        <f>HYPERLINK("https://klasma.github.io/Logging_1257/artfynd/A 22410-2024 artfynd.xlsx", "A 22410-2024")</f>
        <v/>
      </c>
      <c r="W29">
        <f>HYPERLINK("https://klasma.github.io/Logging_1257/kartor/A 22410-2024 karta.png", "A 22410-2024")</f>
        <v/>
      </c>
      <c r="Y29">
        <f>HYPERLINK("https://klasma.github.io/Logging_1257/klagomål/A 22410-2024 FSC-klagomål.docx", "A 22410-2024")</f>
        <v/>
      </c>
      <c r="Z29">
        <f>HYPERLINK("https://klasma.github.io/Logging_1257/klagomålsmail/A 22410-2024 FSC-klagomål mail.docx", "A 22410-2024")</f>
        <v/>
      </c>
      <c r="AA29">
        <f>HYPERLINK("https://klasma.github.io/Logging_1257/tillsyn/A 22410-2024 tillsynsbegäran.docx", "A 22410-2024")</f>
        <v/>
      </c>
      <c r="AB29">
        <f>HYPERLINK("https://klasma.github.io/Logging_1257/tillsynsmail/A 22410-2024 tillsynsbegäran mail.docx", "A 22410-2024")</f>
        <v/>
      </c>
    </row>
    <row r="30" ht="15" customHeight="1">
      <c r="A30" t="inlineStr">
        <is>
          <t>A 21867-2025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45784</v>
      </c>
      <c r="E30" s="1" t="n">
        <v>46220</v>
      </c>
      <c r="F30" t="inlineStr">
        <is>
          <t>SKÅNE LÄN</t>
        </is>
      </c>
      <c r="G30" t="inlineStr">
        <is>
          <t>ÖRKELLJUNGA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Källkvicklöpare</t>
        </is>
      </c>
      <c r="V30">
        <f>HYPERLINK("https://klasma.github.io/Logging_1257/artfynd/A 21867-2025 artfynd.xlsx", "A 21867-2025")</f>
        <v/>
      </c>
      <c r="W30">
        <f>HYPERLINK("https://klasma.github.io/Logging_1257/kartor/A 21867-2025 karta.png", "A 21867-2025")</f>
        <v/>
      </c>
      <c r="Y30">
        <f>HYPERLINK("https://klasma.github.io/Logging_1257/klagomål/A 21867-2025 FSC-klagomål.docx", "A 21867-2025")</f>
        <v/>
      </c>
      <c r="Z30">
        <f>HYPERLINK("https://klasma.github.io/Logging_1257/klagomålsmail/A 21867-2025 FSC-klagomål mail.docx", "A 21867-2025")</f>
        <v/>
      </c>
      <c r="AA30">
        <f>HYPERLINK("https://klasma.github.io/Logging_1257/tillsyn/A 21867-2025 tillsynsbegäran.docx", "A 21867-2025")</f>
        <v/>
      </c>
      <c r="AB30">
        <f>HYPERLINK("https://klasma.github.io/Logging_1257/tillsynsmail/A 21867-2025 tillsynsbegäran mail.docx", "A 21867-2025")</f>
        <v/>
      </c>
    </row>
    <row r="31" ht="15" customHeight="1">
      <c r="A31" t="inlineStr">
        <is>
          <t>S 2910-2024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45503</v>
      </c>
      <c r="E31" s="1" t="n">
        <v>46220</v>
      </c>
      <c r="F31" t="inlineStr">
        <is>
          <t>SKÅNE LÄN</t>
        </is>
      </c>
      <c r="G31" t="inlineStr">
        <is>
          <t>ÖRKELLJUNGA</t>
        </is>
      </c>
      <c r="I31" t="n">
        <v>0.4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Spillkråka</t>
        </is>
      </c>
      <c r="V31">
        <f>HYPERLINK("https://klasma.github.io/Logging_1257/artfynd/S 2910-2024 artfynd.xlsx", "S 2910-2024")</f>
        <v/>
      </c>
      <c r="W31">
        <f>HYPERLINK("https://klasma.github.io/Logging_1257/kartor/S 2910-2024 karta.png", "S 2910-2024")</f>
        <v/>
      </c>
      <c r="Y31">
        <f>HYPERLINK("https://klasma.github.io/Logging_1257/klagomål/S 2910-2024 FSC-klagomål.docx", "S 2910-2024")</f>
        <v/>
      </c>
      <c r="Z31">
        <f>HYPERLINK("https://klasma.github.io/Logging_1257/klagomålsmail/S 2910-2024 FSC-klagomål mail.docx", "S 2910-2024")</f>
        <v/>
      </c>
      <c r="AA31">
        <f>HYPERLINK("https://klasma.github.io/Logging_1257/tillsyn/S 2910-2024 tillsynsbegäran.docx", "S 2910-2024")</f>
        <v/>
      </c>
      <c r="AB31">
        <f>HYPERLINK("https://klasma.github.io/Logging_1257/tillsynsmail/S 2910-2024 tillsynsbegäran mail.docx", "S 2910-2024")</f>
        <v/>
      </c>
      <c r="AC31">
        <f>HYPERLINK("https://klasma.github.io/Logging_1257/fåglar/S 2910-2024 prioriterade fågelarter.docx", "S 2910-2024")</f>
        <v/>
      </c>
    </row>
    <row r="32" ht="15" customHeight="1">
      <c r="A32" t="inlineStr">
        <is>
          <t>S 4056-2023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45243</v>
      </c>
      <c r="E32" s="1" t="n">
        <v>46220</v>
      </c>
      <c r="F32" t="inlineStr">
        <is>
          <t>SKÅNE LÄN</t>
        </is>
      </c>
      <c r="G32" t="inlineStr">
        <is>
          <t>ÖRKELLJUNGA</t>
        </is>
      </c>
      <c r="I32" t="n">
        <v>7.1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Grönvit nattviol</t>
        </is>
      </c>
      <c r="V32">
        <f>HYPERLINK("https://klasma.github.io/Logging_1257/artfynd/S 4056-2023 artfynd.xlsx", "S 4056-2023")</f>
        <v/>
      </c>
      <c r="W32">
        <f>HYPERLINK("https://klasma.github.io/Logging_1257/kartor/S 4056-2023 karta.png", "S 4056-2023")</f>
        <v/>
      </c>
      <c r="Y32">
        <f>HYPERLINK("https://klasma.github.io/Logging_1257/klagomål/S 4056-2023 FSC-klagomål.docx", "S 4056-2023")</f>
        <v/>
      </c>
      <c r="Z32">
        <f>HYPERLINK("https://klasma.github.io/Logging_1257/klagomålsmail/S 4056-2023 FSC-klagomål mail.docx", "S 4056-2023")</f>
        <v/>
      </c>
      <c r="AA32">
        <f>HYPERLINK("https://klasma.github.io/Logging_1257/tillsyn/S 4056-2023 tillsynsbegäran.docx", "S 4056-2023")</f>
        <v/>
      </c>
      <c r="AB32">
        <f>HYPERLINK("https://klasma.github.io/Logging_1257/tillsynsmail/S 4056-2023 tillsynsbegäran mail.docx", "S 4056-2023")</f>
        <v/>
      </c>
    </row>
    <row r="33" ht="15" customHeight="1">
      <c r="A33" t="inlineStr">
        <is>
          <t>S 2731-2022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44704</v>
      </c>
      <c r="E33" s="1" t="n">
        <v>46220</v>
      </c>
      <c r="F33" t="inlineStr">
        <is>
          <t>SKÅNE LÄN</t>
        </is>
      </c>
      <c r="G33" t="inlineStr">
        <is>
          <t>ÖRKELLJUNGA</t>
        </is>
      </c>
      <c r="H33" t="inlineStr">
        <is>
          <t>Kyrkan</t>
        </is>
      </c>
      <c r="I33" t="n">
        <v>24.7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Gröngöling</t>
        </is>
      </c>
      <c r="V33">
        <f>HYPERLINK("https://klasma.github.io/Logging_1257/artfynd/S 2731-2022 artfynd.xlsx", "S 2731-2022")</f>
        <v/>
      </c>
      <c r="W33">
        <f>HYPERLINK("https://klasma.github.io/Logging_1257/kartor/S 2731-2022 karta.png", "S 2731-2022")</f>
        <v/>
      </c>
      <c r="Y33">
        <f>HYPERLINK("https://klasma.github.io/Logging_1257/klagomål/S 2731-2022 FSC-klagomål.docx", "S 2731-2022")</f>
        <v/>
      </c>
      <c r="Z33">
        <f>HYPERLINK("https://klasma.github.io/Logging_1257/klagomålsmail/S 2731-2022 FSC-klagomål mail.docx", "S 2731-2022")</f>
        <v/>
      </c>
      <c r="AA33">
        <f>HYPERLINK("https://klasma.github.io/Logging_1257/tillsyn/S 2731-2022 tillsynsbegäran.docx", "S 2731-2022")</f>
        <v/>
      </c>
      <c r="AB33">
        <f>HYPERLINK("https://klasma.github.io/Logging_1257/tillsynsmail/S 2731-2022 tillsynsbegäran mail.docx", "S 2731-2022")</f>
        <v/>
      </c>
    </row>
    <row r="34" ht="15" customHeight="1">
      <c r="A34" t="inlineStr">
        <is>
          <t>S 4251-2024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45582</v>
      </c>
      <c r="E34" s="1" t="n">
        <v>46220</v>
      </c>
      <c r="F34" t="inlineStr">
        <is>
          <t>SKÅNE LÄN</t>
        </is>
      </c>
      <c r="G34" t="inlineStr">
        <is>
          <t>ÖRKELLJUNGA</t>
        </is>
      </c>
      <c r="I34" t="n">
        <v>25.4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Svartvit flugsnappare</t>
        </is>
      </c>
      <c r="V34">
        <f>HYPERLINK("https://klasma.github.io/Logging_1257/artfynd/S 4251-2024 artfynd.xlsx", "S 4251-2024")</f>
        <v/>
      </c>
      <c r="W34">
        <f>HYPERLINK("https://klasma.github.io/Logging_1257/kartor/S 4251-2024 karta.png", "S 4251-2024")</f>
        <v/>
      </c>
      <c r="Y34">
        <f>HYPERLINK("https://klasma.github.io/Logging_1257/klagomål/S 4251-2024 FSC-klagomål.docx", "S 4251-2024")</f>
        <v/>
      </c>
      <c r="Z34">
        <f>HYPERLINK("https://klasma.github.io/Logging_1257/klagomålsmail/S 4251-2024 FSC-klagomål mail.docx", "S 4251-2024")</f>
        <v/>
      </c>
      <c r="AA34">
        <f>HYPERLINK("https://klasma.github.io/Logging_1257/tillsyn/S 4251-2024 tillsynsbegäran.docx", "S 4251-2024")</f>
        <v/>
      </c>
      <c r="AB34">
        <f>HYPERLINK("https://klasma.github.io/Logging_1257/tillsynsmail/S 4251-2024 tillsynsbegäran mail.docx", "S 4251-2024")</f>
        <v/>
      </c>
    </row>
    <row r="35" ht="15" customHeight="1">
      <c r="A35" t="inlineStr">
        <is>
          <t>S 287-2026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46057</v>
      </c>
      <c r="E35" s="1" t="n">
        <v>46220</v>
      </c>
      <c r="F35" t="inlineStr">
        <is>
          <t>SKÅNE LÄN</t>
        </is>
      </c>
      <c r="G35" t="inlineStr">
        <is>
          <t>ÖRKELLJUNGA</t>
        </is>
      </c>
      <c r="I35" t="n">
        <v>31.6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Kungsfågel</t>
        </is>
      </c>
      <c r="V35">
        <f>HYPERLINK("https://klasma.github.io/Logging_1257/artfynd/S 287-2026 artfynd.xlsx", "S 287-2026")</f>
        <v/>
      </c>
      <c r="W35">
        <f>HYPERLINK("https://klasma.github.io/Logging_1257/kartor/S 287-2026 karta.png", "S 287-2026")</f>
        <v/>
      </c>
      <c r="Y35">
        <f>HYPERLINK("https://klasma.github.io/Logging_1257/klagomål/S 287-2026 FSC-klagomål.docx", "S 287-2026")</f>
        <v/>
      </c>
      <c r="Z35">
        <f>HYPERLINK("https://klasma.github.io/Logging_1257/klagomålsmail/S 287-2026 FSC-klagomål mail.docx", "S 287-2026")</f>
        <v/>
      </c>
      <c r="AA35">
        <f>HYPERLINK("https://klasma.github.io/Logging_1257/tillsyn/S 287-2026 tillsynsbegäran.docx", "S 287-2026")</f>
        <v/>
      </c>
      <c r="AB35">
        <f>HYPERLINK("https://klasma.github.io/Logging_1257/tillsynsmail/S 287-2026 tillsynsbegäran mail.docx", "S 287-2026")</f>
        <v/>
      </c>
    </row>
    <row r="36" ht="15" customHeight="1">
      <c r="A36" t="inlineStr">
        <is>
          <t>A 39805-2021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44416</v>
      </c>
      <c r="E36" s="1" t="n">
        <v>46220</v>
      </c>
      <c r="F36" t="inlineStr">
        <is>
          <t>SKÅNE LÄN</t>
        </is>
      </c>
      <c r="G36" t="inlineStr">
        <is>
          <t>ÖRKELLJUNGA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33323-2022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46220</v>
      </c>
      <c r="F37" t="inlineStr">
        <is>
          <t>SKÅNE LÄN</t>
        </is>
      </c>
      <c r="G37" t="inlineStr">
        <is>
          <t>ÖRKELLJUNGA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40196-2022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44820</v>
      </c>
      <c r="E38" s="1" t="n">
        <v>46220</v>
      </c>
      <c r="F38" t="inlineStr">
        <is>
          <t>SKÅNE LÄN</t>
        </is>
      </c>
      <c r="G38" t="inlineStr">
        <is>
          <t>ÖRKELLJUNGA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33328-2022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44788</v>
      </c>
      <c r="E39" s="1" t="n">
        <v>46220</v>
      </c>
      <c r="F39" t="inlineStr">
        <is>
          <t>SKÅNE LÄN</t>
        </is>
      </c>
      <c r="G39" t="inlineStr">
        <is>
          <t>ÖRKELLJUNGA</t>
        </is>
      </c>
      <c r="I39" t="n">
        <v>3.7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16920-2022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44676</v>
      </c>
      <c r="E40" s="1" t="n">
        <v>46220</v>
      </c>
      <c r="F40" t="inlineStr">
        <is>
          <t>SKÅNE LÄN</t>
        </is>
      </c>
      <c r="G40" t="inlineStr">
        <is>
          <t>ÖRKELLJUNGA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38560-2022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44813</v>
      </c>
      <c r="E41" s="1" t="n">
        <v>46220</v>
      </c>
      <c r="F41" t="inlineStr">
        <is>
          <t>SKÅNE LÄN</t>
        </is>
      </c>
      <c r="G41" t="inlineStr">
        <is>
          <t>ÖRKELLJUNGA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72707-2021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44546</v>
      </c>
      <c r="E42" s="1" t="n">
        <v>46220</v>
      </c>
      <c r="F42" t="inlineStr">
        <is>
          <t>SKÅNE LÄN</t>
        </is>
      </c>
      <c r="G42" t="inlineStr">
        <is>
          <t>ÖRKELLJUNGA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45968-2022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44846</v>
      </c>
      <c r="E43" s="1" t="n">
        <v>46220</v>
      </c>
      <c r="F43" t="inlineStr">
        <is>
          <t>SKÅNE LÄN</t>
        </is>
      </c>
      <c r="G43" t="inlineStr">
        <is>
          <t>ÖRKELLJUNGA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29333-2022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44752</v>
      </c>
      <c r="E44" s="1" t="n">
        <v>46220</v>
      </c>
      <c r="F44" t="inlineStr">
        <is>
          <t>SKÅNE LÄN</t>
        </is>
      </c>
      <c r="G44" t="inlineStr">
        <is>
          <t>ÖRKELLJUNGA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56006-2021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44477</v>
      </c>
      <c r="E45" s="1" t="n">
        <v>46220</v>
      </c>
      <c r="F45" t="inlineStr">
        <is>
          <t>SKÅNE LÄN</t>
        </is>
      </c>
      <c r="G45" t="inlineStr">
        <is>
          <t>ÖRKELLJUNGA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39365-2021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44414</v>
      </c>
      <c r="E46" s="1" t="n">
        <v>46220</v>
      </c>
      <c r="F46" t="inlineStr">
        <is>
          <t>SKÅNE LÄN</t>
        </is>
      </c>
      <c r="G46" t="inlineStr">
        <is>
          <t>ÖRKELLJUNGA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8111-2022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44607</v>
      </c>
      <c r="E47" s="1" t="n">
        <v>46220</v>
      </c>
      <c r="F47" t="inlineStr">
        <is>
          <t>SKÅNE LÄN</t>
        </is>
      </c>
      <c r="G47" t="inlineStr">
        <is>
          <t>ÖRKELLJUNGA</t>
        </is>
      </c>
      <c r="H47" t="inlineStr">
        <is>
          <t>Kyrkan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45443-2021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44440</v>
      </c>
      <c r="E48" s="1" t="n">
        <v>46220</v>
      </c>
      <c r="F48" t="inlineStr">
        <is>
          <t>SKÅNE LÄN</t>
        </is>
      </c>
      <c r="G48" t="inlineStr">
        <is>
          <t>ÖRKELLJUNGA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70802-2021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44537</v>
      </c>
      <c r="E49" s="1" t="n">
        <v>46220</v>
      </c>
      <c r="F49" t="inlineStr">
        <is>
          <t>SKÅNE LÄN</t>
        </is>
      </c>
      <c r="G49" t="inlineStr">
        <is>
          <t>ÖRKELLJUNGA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39772-2021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44416</v>
      </c>
      <c r="E50" s="1" t="n">
        <v>46220</v>
      </c>
      <c r="F50" t="inlineStr">
        <is>
          <t>SKÅNE LÄN</t>
        </is>
      </c>
      <c r="G50" t="inlineStr">
        <is>
          <t>ÖRKELLJUNGA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35533-2022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44799</v>
      </c>
      <c r="E51" s="1" t="n">
        <v>46220</v>
      </c>
      <c r="F51" t="inlineStr">
        <is>
          <t>SKÅNE LÄN</t>
        </is>
      </c>
      <c r="G51" t="inlineStr">
        <is>
          <t>ÖRKELLJUNGA</t>
        </is>
      </c>
      <c r="H51" t="inlineStr">
        <is>
          <t>Kommuner</t>
        </is>
      </c>
      <c r="I51" t="n">
        <v>4.6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68082-2021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44526</v>
      </c>
      <c r="E52" s="1" t="n">
        <v>46220</v>
      </c>
      <c r="F52" t="inlineStr">
        <is>
          <t>SKÅNE LÄN</t>
        </is>
      </c>
      <c r="G52" t="inlineStr">
        <is>
          <t>ÖRKELLJUNGA</t>
        </is>
      </c>
      <c r="I52" t="n">
        <v>19.7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38556-2022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44813</v>
      </c>
      <c r="E53" s="1" t="n">
        <v>46220</v>
      </c>
      <c r="F53" t="inlineStr">
        <is>
          <t>SKÅNE LÄN</t>
        </is>
      </c>
      <c r="G53" t="inlineStr">
        <is>
          <t>ÖRKELLJUNGA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71637-2021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44543</v>
      </c>
      <c r="E54" s="1" t="n">
        <v>46220</v>
      </c>
      <c r="F54" t="inlineStr">
        <is>
          <t>SKÅNE LÄN</t>
        </is>
      </c>
      <c r="G54" t="inlineStr">
        <is>
          <t>ÖRKELLJUNGA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12139-2022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44636</v>
      </c>
      <c r="E55" s="1" t="n">
        <v>46220</v>
      </c>
      <c r="F55" t="inlineStr">
        <is>
          <t>SKÅNE LÄN</t>
        </is>
      </c>
      <c r="G55" t="inlineStr">
        <is>
          <t>ÖRKELLJUNGA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45063-2022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44841</v>
      </c>
      <c r="E56" s="1" t="n">
        <v>46220</v>
      </c>
      <c r="F56" t="inlineStr">
        <is>
          <t>SKÅNE LÄN</t>
        </is>
      </c>
      <c r="G56" t="inlineStr">
        <is>
          <t>ÖRKELLJUNGA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6020-2022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44599</v>
      </c>
      <c r="E57" s="1" t="n">
        <v>46220</v>
      </c>
      <c r="F57" t="inlineStr">
        <is>
          <t>SKÅNE LÄN</t>
        </is>
      </c>
      <c r="G57" t="inlineStr">
        <is>
          <t>ÖRKELLJUNGA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19390-2023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45048</v>
      </c>
      <c r="E58" s="1" t="n">
        <v>46220</v>
      </c>
      <c r="F58" t="inlineStr">
        <is>
          <t>SKÅNE LÄN</t>
        </is>
      </c>
      <c r="G58" t="inlineStr">
        <is>
          <t>ÖRKELLJUNGA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73830-2021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44552</v>
      </c>
      <c r="E59" s="1" t="n">
        <v>46220</v>
      </c>
      <c r="F59" t="inlineStr">
        <is>
          <t>SKÅNE LÄN</t>
        </is>
      </c>
      <c r="G59" t="inlineStr">
        <is>
          <t>ÖRKELLJUNGA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44814-2022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44841</v>
      </c>
      <c r="E60" s="1" t="n">
        <v>46220</v>
      </c>
      <c r="F60" t="inlineStr">
        <is>
          <t>SKÅNE LÄN</t>
        </is>
      </c>
      <c r="G60" t="inlineStr">
        <is>
          <t>ÖRKELLJUNGA</t>
        </is>
      </c>
      <c r="I60" t="n">
        <v>5.2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9748-2024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45362</v>
      </c>
      <c r="E61" s="1" t="n">
        <v>46220</v>
      </c>
      <c r="F61" t="inlineStr">
        <is>
          <t>SKÅNE LÄN</t>
        </is>
      </c>
      <c r="G61" t="inlineStr">
        <is>
          <t>ÖRKELLJUNGA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10379-2024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45365</v>
      </c>
      <c r="E62" s="1" t="n">
        <v>46220</v>
      </c>
      <c r="F62" t="inlineStr">
        <is>
          <t>SKÅNE LÄN</t>
        </is>
      </c>
      <c r="G62" t="inlineStr">
        <is>
          <t>ÖRKELLJUNGA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52876-2024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45610</v>
      </c>
      <c r="E63" s="1" t="n">
        <v>46220</v>
      </c>
      <c r="F63" t="inlineStr">
        <is>
          <t>SKÅNE LÄN</t>
        </is>
      </c>
      <c r="G63" t="inlineStr">
        <is>
          <t>ÖRKELLJUNGA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23740-2023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45077</v>
      </c>
      <c r="E64" s="1" t="n">
        <v>46220</v>
      </c>
      <c r="F64" t="inlineStr">
        <is>
          <t>SKÅNE LÄN</t>
        </is>
      </c>
      <c r="G64" t="inlineStr">
        <is>
          <t>ÖRKELLJUNGA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72261-2021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44545</v>
      </c>
      <c r="E65" s="1" t="n">
        <v>46220</v>
      </c>
      <c r="F65" t="inlineStr">
        <is>
          <t>SKÅNE LÄN</t>
        </is>
      </c>
      <c r="G65" t="inlineStr">
        <is>
          <t>ÖRKELLJUNGA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17737-2023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45037</v>
      </c>
      <c r="E66" s="1" t="n">
        <v>46220</v>
      </c>
      <c r="F66" t="inlineStr">
        <is>
          <t>SKÅNE LÄN</t>
        </is>
      </c>
      <c r="G66" t="inlineStr">
        <is>
          <t>ÖRKELLJUNGA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9359-2025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45715</v>
      </c>
      <c r="E67" s="1" t="n">
        <v>46220</v>
      </c>
      <c r="F67" t="inlineStr">
        <is>
          <t>SKÅNE LÄN</t>
        </is>
      </c>
      <c r="G67" t="inlineStr">
        <is>
          <t>ÖRKELLJUNGA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23898-2023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45078</v>
      </c>
      <c r="E68" s="1" t="n">
        <v>46220</v>
      </c>
      <c r="F68" t="inlineStr">
        <is>
          <t>SKÅNE LÄN</t>
        </is>
      </c>
      <c r="G68" t="inlineStr">
        <is>
          <t>ÖRKELLJUNGA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47890-2022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44855</v>
      </c>
      <c r="E69" s="1" t="n">
        <v>46220</v>
      </c>
      <c r="F69" t="inlineStr">
        <is>
          <t>SKÅNE LÄN</t>
        </is>
      </c>
      <c r="G69" t="inlineStr">
        <is>
          <t>ÖRKELLJUNGA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52243-2025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45953</v>
      </c>
      <c r="E70" s="1" t="n">
        <v>46220</v>
      </c>
      <c r="F70" t="inlineStr">
        <is>
          <t>SKÅNE LÄN</t>
        </is>
      </c>
      <c r="G70" t="inlineStr">
        <is>
          <t>ÖRKELLJUNGA</t>
        </is>
      </c>
      <c r="I70" t="n">
        <v>4.6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53163-2025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45958</v>
      </c>
      <c r="E71" s="1" t="n">
        <v>46220</v>
      </c>
      <c r="F71" t="inlineStr">
        <is>
          <t>SKÅNE LÄN</t>
        </is>
      </c>
      <c r="G71" t="inlineStr">
        <is>
          <t>ÖRKELLJUNGA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52246-2025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45953</v>
      </c>
      <c r="E72" s="1" t="n">
        <v>46220</v>
      </c>
      <c r="F72" t="inlineStr">
        <is>
          <t>SKÅNE LÄN</t>
        </is>
      </c>
      <c r="G72" t="inlineStr">
        <is>
          <t>ÖRKELLJUNGA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31704-2023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45117</v>
      </c>
      <c r="E73" s="1" t="n">
        <v>46220</v>
      </c>
      <c r="F73" t="inlineStr">
        <is>
          <t>SKÅNE LÄN</t>
        </is>
      </c>
      <c r="G73" t="inlineStr">
        <is>
          <t>ÖRKELLJUNGA</t>
        </is>
      </c>
      <c r="I73" t="n">
        <v>6.7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14912-2024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45398</v>
      </c>
      <c r="E74" s="1" t="n">
        <v>46220</v>
      </c>
      <c r="F74" t="inlineStr">
        <is>
          <t>SKÅNE LÄN</t>
        </is>
      </c>
      <c r="G74" t="inlineStr">
        <is>
          <t>ÖRKELLJUNGA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25589-2025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45803</v>
      </c>
      <c r="E75" s="1" t="n">
        <v>46220</v>
      </c>
      <c r="F75" t="inlineStr">
        <is>
          <t>SKÅNE LÄN</t>
        </is>
      </c>
      <c r="G75" t="inlineStr">
        <is>
          <t>ÖRKELLJUNGA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1225-2026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46031</v>
      </c>
      <c r="E76" s="1" t="n">
        <v>46220</v>
      </c>
      <c r="F76" t="inlineStr">
        <is>
          <t>SKÅNE LÄN</t>
        </is>
      </c>
      <c r="G76" t="inlineStr">
        <is>
          <t>ÖRKELLJUNGA</t>
        </is>
      </c>
      <c r="I76" t="n">
        <v>5.6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31399-2025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45833</v>
      </c>
      <c r="E77" s="1" t="n">
        <v>46220</v>
      </c>
      <c r="F77" t="inlineStr">
        <is>
          <t>SKÅNE LÄN</t>
        </is>
      </c>
      <c r="G77" t="inlineStr">
        <is>
          <t>ÖRKELLJUNGA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26032-2025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45804</v>
      </c>
      <c r="E78" s="1" t="n">
        <v>46220</v>
      </c>
      <c r="F78" t="inlineStr">
        <is>
          <t>SKÅNE LÄN</t>
        </is>
      </c>
      <c r="G78" t="inlineStr">
        <is>
          <t>ÖRKELLJUNGA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26020-2025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45804</v>
      </c>
      <c r="E79" s="1" t="n">
        <v>46220</v>
      </c>
      <c r="F79" t="inlineStr">
        <is>
          <t>SKÅNE LÄN</t>
        </is>
      </c>
      <c r="G79" t="inlineStr">
        <is>
          <t>ÖRKELLJUNGA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7915-2025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45707</v>
      </c>
      <c r="E80" s="1" t="n">
        <v>46220</v>
      </c>
      <c r="F80" t="inlineStr">
        <is>
          <t>SKÅNE LÄN</t>
        </is>
      </c>
      <c r="G80" t="inlineStr">
        <is>
          <t>ÖRKELLJUNGA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54667-2023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45235</v>
      </c>
      <c r="E81" s="1" t="n">
        <v>46220</v>
      </c>
      <c r="F81" t="inlineStr">
        <is>
          <t>SKÅNE LÄN</t>
        </is>
      </c>
      <c r="G81" t="inlineStr">
        <is>
          <t>ÖRKELLJUNGA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27523-2025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45813</v>
      </c>
      <c r="E82" s="1" t="n">
        <v>46220</v>
      </c>
      <c r="F82" t="inlineStr">
        <is>
          <t>SKÅNE LÄN</t>
        </is>
      </c>
      <c r="G82" t="inlineStr">
        <is>
          <t>ÖRKELLJUNGA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25963-2023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45090</v>
      </c>
      <c r="E83" s="1" t="n">
        <v>46220</v>
      </c>
      <c r="F83" t="inlineStr">
        <is>
          <t>SKÅNE LÄN</t>
        </is>
      </c>
      <c r="G83" t="inlineStr">
        <is>
          <t>ÖRKELLJUNGA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40814-2023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45171</v>
      </c>
      <c r="E84" s="1" t="n">
        <v>46220</v>
      </c>
      <c r="F84" t="inlineStr">
        <is>
          <t>SKÅNE LÄN</t>
        </is>
      </c>
      <c r="G84" t="inlineStr">
        <is>
          <t>ÖRKELLJUNGA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32855-2023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45124</v>
      </c>
      <c r="E85" s="1" t="n">
        <v>46220</v>
      </c>
      <c r="F85" t="inlineStr">
        <is>
          <t>SKÅNE LÄN</t>
        </is>
      </c>
      <c r="G85" t="inlineStr">
        <is>
          <t>ÖRKELLJUNGA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1492-2024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45305</v>
      </c>
      <c r="E86" s="1" t="n">
        <v>46220</v>
      </c>
      <c r="F86" t="inlineStr">
        <is>
          <t>SKÅNE LÄN</t>
        </is>
      </c>
      <c r="G86" t="inlineStr">
        <is>
          <t>ÖRKELLJUNGA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1493-2024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45305</v>
      </c>
      <c r="E87" s="1" t="n">
        <v>46220</v>
      </c>
      <c r="F87" t="inlineStr">
        <is>
          <t>SKÅNE LÄN</t>
        </is>
      </c>
      <c r="G87" t="inlineStr">
        <is>
          <t>ÖRKELLJUNGA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21910-2024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45443</v>
      </c>
      <c r="E88" s="1" t="n">
        <v>46220</v>
      </c>
      <c r="F88" t="inlineStr">
        <is>
          <t>SKÅNE LÄN</t>
        </is>
      </c>
      <c r="G88" t="inlineStr">
        <is>
          <t>ÖRKELLJUNGA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15478-2025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45747</v>
      </c>
      <c r="E89" s="1" t="n">
        <v>46220</v>
      </c>
      <c r="F89" t="inlineStr">
        <is>
          <t>SKÅNE LÄN</t>
        </is>
      </c>
      <c r="G89" t="inlineStr">
        <is>
          <t>ÖRKELLJUNGA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41912-2025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45903</v>
      </c>
      <c r="E90" s="1" t="n">
        <v>46220</v>
      </c>
      <c r="F90" t="inlineStr">
        <is>
          <t>SKÅNE LÄN</t>
        </is>
      </c>
      <c r="G90" t="inlineStr">
        <is>
          <t>ÖRKELLJUNGA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21146-2022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44704</v>
      </c>
      <c r="E91" s="1" t="n">
        <v>46220</v>
      </c>
      <c r="F91" t="inlineStr">
        <is>
          <t>SKÅNE LÄN</t>
        </is>
      </c>
      <c r="G91" t="inlineStr">
        <is>
          <t>ÖRKELLJUNGA</t>
        </is>
      </c>
      <c r="I91" t="n">
        <v>7.4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57703-2022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44897</v>
      </c>
      <c r="E92" s="1" t="n">
        <v>46220</v>
      </c>
      <c r="F92" t="inlineStr">
        <is>
          <t>SKÅNE LÄN</t>
        </is>
      </c>
      <c r="G92" t="inlineStr">
        <is>
          <t>ÖRKELLJUNGA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41926-2025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45903</v>
      </c>
      <c r="E93" s="1" t="n">
        <v>46220</v>
      </c>
      <c r="F93" t="inlineStr">
        <is>
          <t>SKÅNE LÄN</t>
        </is>
      </c>
      <c r="G93" t="inlineStr">
        <is>
          <t>ÖRKELLJUNGA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2537-2026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46037</v>
      </c>
      <c r="E94" s="1" t="n">
        <v>46220</v>
      </c>
      <c r="F94" t="inlineStr">
        <is>
          <t>SKÅNE LÄN</t>
        </is>
      </c>
      <c r="G94" t="inlineStr">
        <is>
          <t>ÖRKELLJUNGA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26058-2024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45468</v>
      </c>
      <c r="E95" s="1" t="n">
        <v>46220</v>
      </c>
      <c r="F95" t="inlineStr">
        <is>
          <t>SKÅNE LÄN</t>
        </is>
      </c>
      <c r="G95" t="inlineStr">
        <is>
          <t>ÖRKELLJUNGA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28693-2025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45819</v>
      </c>
      <c r="E96" s="1" t="n">
        <v>46220</v>
      </c>
      <c r="F96" t="inlineStr">
        <is>
          <t>SKÅNE LÄN</t>
        </is>
      </c>
      <c r="G96" t="inlineStr">
        <is>
          <t>ÖRKELLJUNGA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63783-2023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45278</v>
      </c>
      <c r="E97" s="1" t="n">
        <v>46220</v>
      </c>
      <c r="F97" t="inlineStr">
        <is>
          <t>SKÅNE LÄN</t>
        </is>
      </c>
      <c r="G97" t="inlineStr">
        <is>
          <t>ÖRKELLJUNGA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29642-2025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45825</v>
      </c>
      <c r="E98" s="1" t="n">
        <v>46220</v>
      </c>
      <c r="F98" t="inlineStr">
        <is>
          <t>SKÅNE LÄN</t>
        </is>
      </c>
      <c r="G98" t="inlineStr">
        <is>
          <t>ÖRKELLJUNGA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42708-2025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45908</v>
      </c>
      <c r="E99" s="1" t="n">
        <v>46220</v>
      </c>
      <c r="F99" t="inlineStr">
        <is>
          <t>SKÅNE LÄN</t>
        </is>
      </c>
      <c r="G99" t="inlineStr">
        <is>
          <t>ÖRKELLJUNGA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42728-2025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45908</v>
      </c>
      <c r="E100" s="1" t="n">
        <v>46220</v>
      </c>
      <c r="F100" t="inlineStr">
        <is>
          <t>SKÅNE LÄN</t>
        </is>
      </c>
      <c r="G100" t="inlineStr">
        <is>
          <t>ÖRKELLJUNGA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1397-2023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44936</v>
      </c>
      <c r="E101" s="1" t="n">
        <v>46220</v>
      </c>
      <c r="F101" t="inlineStr">
        <is>
          <t>SKÅNE LÄN</t>
        </is>
      </c>
      <c r="G101" t="inlineStr">
        <is>
          <t>ÖRKELLJUNGA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13797-2025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45737</v>
      </c>
      <c r="E102" s="1" t="n">
        <v>46220</v>
      </c>
      <c r="F102" t="inlineStr">
        <is>
          <t>SKÅNE LÄN</t>
        </is>
      </c>
      <c r="G102" t="inlineStr">
        <is>
          <t>ÖRKELLJUNGA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36543-2022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44804</v>
      </c>
      <c r="E103" s="1" t="n">
        <v>46220</v>
      </c>
      <c r="F103" t="inlineStr">
        <is>
          <t>SKÅNE LÄN</t>
        </is>
      </c>
      <c r="G103" t="inlineStr">
        <is>
          <t>ÖRKELLJUNGA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13068-2023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45002</v>
      </c>
      <c r="E104" s="1" t="n">
        <v>46220</v>
      </c>
      <c r="F104" t="inlineStr">
        <is>
          <t>SKÅNE LÄN</t>
        </is>
      </c>
      <c r="G104" t="inlineStr">
        <is>
          <t>ÖRKELLJUNGA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43990-2025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45915</v>
      </c>
      <c r="E105" s="1" t="n">
        <v>46220</v>
      </c>
      <c r="F105" t="inlineStr">
        <is>
          <t>SKÅNE LÄN</t>
        </is>
      </c>
      <c r="G105" t="inlineStr">
        <is>
          <t>ÖRKELLJUNGA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5954-2025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45695</v>
      </c>
      <c r="E106" s="1" t="n">
        <v>46220</v>
      </c>
      <c r="F106" t="inlineStr">
        <is>
          <t>SKÅNE LÄN</t>
        </is>
      </c>
      <c r="G106" t="inlineStr">
        <is>
          <t>ÖRKELLJUNGA</t>
        </is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12038-2025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45728</v>
      </c>
      <c r="E107" s="1" t="n">
        <v>46220</v>
      </c>
      <c r="F107" t="inlineStr">
        <is>
          <t>SKÅNE LÄN</t>
        </is>
      </c>
      <c r="G107" t="inlineStr">
        <is>
          <t>ÖRKELLJUNGA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2474-2026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46037</v>
      </c>
      <c r="E108" s="1" t="n">
        <v>46220</v>
      </c>
      <c r="F108" t="inlineStr">
        <is>
          <t>SKÅNE LÄN</t>
        </is>
      </c>
      <c r="G108" t="inlineStr">
        <is>
          <t>ÖRKELLJUNGA</t>
        </is>
      </c>
      <c r="I108" t="n">
        <v>8.6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19643-2024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45432</v>
      </c>
      <c r="E109" s="1" t="n">
        <v>46220</v>
      </c>
      <c r="F109" t="inlineStr">
        <is>
          <t>SKÅNE LÄN</t>
        </is>
      </c>
      <c r="G109" t="inlineStr">
        <is>
          <t>ÖRKELLJUNGA</t>
        </is>
      </c>
      <c r="H109" t="inlineStr">
        <is>
          <t>Kommuner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17270-2025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45756</v>
      </c>
      <c r="E110" s="1" t="n">
        <v>46220</v>
      </c>
      <c r="F110" t="inlineStr">
        <is>
          <t>SKÅNE LÄN</t>
        </is>
      </c>
      <c r="G110" t="inlineStr">
        <is>
          <t>ÖRKELLJUNGA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44897-2025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45918</v>
      </c>
      <c r="E111" s="1" t="n">
        <v>46220</v>
      </c>
      <c r="F111" t="inlineStr">
        <is>
          <t>SKÅNE LÄN</t>
        </is>
      </c>
      <c r="G111" t="inlineStr">
        <is>
          <t>ÖRKELLJUNGA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32704-2025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45839</v>
      </c>
      <c r="E112" s="1" t="n">
        <v>46220</v>
      </c>
      <c r="F112" t="inlineStr">
        <is>
          <t>SKÅNE LÄN</t>
        </is>
      </c>
      <c r="G112" t="inlineStr">
        <is>
          <t>ÖRKELLJUNGA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44890-2025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45918</v>
      </c>
      <c r="E113" s="1" t="n">
        <v>46220</v>
      </c>
      <c r="F113" t="inlineStr">
        <is>
          <t>SKÅNE LÄN</t>
        </is>
      </c>
      <c r="G113" t="inlineStr">
        <is>
          <t>ÖRKELLJUNGA</t>
        </is>
      </c>
      <c r="I113" t="n">
        <v>4.7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23692-2023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45077</v>
      </c>
      <c r="E114" s="1" t="n">
        <v>46220</v>
      </c>
      <c r="F114" t="inlineStr">
        <is>
          <t>SKÅNE LÄN</t>
        </is>
      </c>
      <c r="G114" t="inlineStr">
        <is>
          <t>ÖRKELLJUNGA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37501-2024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45541</v>
      </c>
      <c r="E115" s="1" t="n">
        <v>46220</v>
      </c>
      <c r="F115" t="inlineStr">
        <is>
          <t>SKÅNE LÄN</t>
        </is>
      </c>
      <c r="G115" t="inlineStr">
        <is>
          <t>ÖRKELLJUNGA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44880-2022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44841</v>
      </c>
      <c r="E116" s="1" t="n">
        <v>46220</v>
      </c>
      <c r="F116" t="inlineStr">
        <is>
          <t>SKÅNE LÄN</t>
        </is>
      </c>
      <c r="G116" t="inlineStr">
        <is>
          <t>ÖRKELLJUNGA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171-2025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45659</v>
      </c>
      <c r="E117" s="1" t="n">
        <v>46220</v>
      </c>
      <c r="F117" t="inlineStr">
        <is>
          <t>SKÅNE LÄN</t>
        </is>
      </c>
      <c r="G117" t="inlineStr">
        <is>
          <t>ÖRKELLJUNGA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9691-2023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44984</v>
      </c>
      <c r="E118" s="1" t="n">
        <v>46220</v>
      </c>
      <c r="F118" t="inlineStr">
        <is>
          <t>SKÅNE LÄN</t>
        </is>
      </c>
      <c r="G118" t="inlineStr">
        <is>
          <t>ÖRKELLJUNGA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18285-2025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45762</v>
      </c>
      <c r="E119" s="1" t="n">
        <v>46220</v>
      </c>
      <c r="F119" t="inlineStr">
        <is>
          <t>SKÅNE LÄN</t>
        </is>
      </c>
      <c r="G119" t="inlineStr">
        <is>
          <t>ÖRKELLJUNGA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17641-2023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45035</v>
      </c>
      <c r="E120" s="1" t="n">
        <v>46220</v>
      </c>
      <c r="F120" t="inlineStr">
        <is>
          <t>SKÅNE LÄN</t>
        </is>
      </c>
      <c r="G120" t="inlineStr">
        <is>
          <t>ÖRKELLJUNGA</t>
        </is>
      </c>
      <c r="I120" t="n">
        <v>7.3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61602-2024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45646</v>
      </c>
      <c r="E121" s="1" t="n">
        <v>46220</v>
      </c>
      <c r="F121" t="inlineStr">
        <is>
          <t>SKÅNE LÄN</t>
        </is>
      </c>
      <c r="G121" t="inlineStr">
        <is>
          <t>ÖRKELLJUNGA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48672-2025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45936</v>
      </c>
      <c r="E122" s="1" t="n">
        <v>46220</v>
      </c>
      <c r="F122" t="inlineStr">
        <is>
          <t>SKÅNE LÄN</t>
        </is>
      </c>
      <c r="G122" t="inlineStr">
        <is>
          <t>ÖRKELLJUNGA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39650-2023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45167</v>
      </c>
      <c r="E123" s="1" t="n">
        <v>46220</v>
      </c>
      <c r="F123" t="inlineStr">
        <is>
          <t>SKÅNE LÄN</t>
        </is>
      </c>
      <c r="G123" t="inlineStr">
        <is>
          <t>ÖRKELLJUNGA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24154-2023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45079</v>
      </c>
      <c r="E124" s="1" t="n">
        <v>46220</v>
      </c>
      <c r="F124" t="inlineStr">
        <is>
          <t>SKÅNE LÄN</t>
        </is>
      </c>
      <c r="G124" t="inlineStr">
        <is>
          <t>ÖRKELLJUNGA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65211-2021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44515</v>
      </c>
      <c r="E125" s="1" t="n">
        <v>46220</v>
      </c>
      <c r="F125" t="inlineStr">
        <is>
          <t>SKÅNE LÄN</t>
        </is>
      </c>
      <c r="G125" t="inlineStr">
        <is>
          <t>ÖRKELLJUNGA</t>
        </is>
      </c>
      <c r="I125" t="n">
        <v>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24765-2023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45084</v>
      </c>
      <c r="E126" s="1" t="n">
        <v>46220</v>
      </c>
      <c r="F126" t="inlineStr">
        <is>
          <t>SKÅNE LÄN</t>
        </is>
      </c>
      <c r="G126" t="inlineStr">
        <is>
          <t>ÖRKELLJUNGA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44925-2025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45918</v>
      </c>
      <c r="E127" s="1" t="n">
        <v>46220</v>
      </c>
      <c r="F127" t="inlineStr">
        <is>
          <t>SKÅNE LÄN</t>
        </is>
      </c>
      <c r="G127" t="inlineStr">
        <is>
          <t>ÖRKELLJUNGA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3934-2026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46043</v>
      </c>
      <c r="E128" s="1" t="n">
        <v>46220</v>
      </c>
      <c r="F128" t="inlineStr">
        <is>
          <t>SKÅNE LÄN</t>
        </is>
      </c>
      <c r="G128" t="inlineStr">
        <is>
          <t>ÖRKELLJUNGA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36280-2025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45867</v>
      </c>
      <c r="E129" s="1" t="n">
        <v>46220</v>
      </c>
      <c r="F129" t="inlineStr">
        <is>
          <t>SKÅNE LÄN</t>
        </is>
      </c>
      <c r="G129" t="inlineStr">
        <is>
          <t>ÖRKELLJUNGA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38897-2025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45887</v>
      </c>
      <c r="E130" s="1" t="n">
        <v>46220</v>
      </c>
      <c r="F130" t="inlineStr">
        <is>
          <t>SKÅNE LÄN</t>
        </is>
      </c>
      <c r="G130" t="inlineStr">
        <is>
          <t>ÖRKELLJUNGA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4989-2026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46049</v>
      </c>
      <c r="E131" s="1" t="n">
        <v>46220</v>
      </c>
      <c r="F131" t="inlineStr">
        <is>
          <t>SKÅNE LÄN</t>
        </is>
      </c>
      <c r="G131" t="inlineStr">
        <is>
          <t>ÖRKELLJUNGA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5002-2026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46049</v>
      </c>
      <c r="E132" s="1" t="n">
        <v>46220</v>
      </c>
      <c r="F132" t="inlineStr">
        <is>
          <t>SKÅNE LÄN</t>
        </is>
      </c>
      <c r="G132" t="inlineStr">
        <is>
          <t>ÖRKELLJUNGA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53142-2025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45958</v>
      </c>
      <c r="E133" s="1" t="n">
        <v>46220</v>
      </c>
      <c r="F133" t="inlineStr">
        <is>
          <t>SKÅNE LÄN</t>
        </is>
      </c>
      <c r="G133" t="inlineStr">
        <is>
          <t>ÖRKELLJUNGA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42177-2023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45178</v>
      </c>
      <c r="E134" s="1" t="n">
        <v>46220</v>
      </c>
      <c r="F134" t="inlineStr">
        <is>
          <t>SKÅNE LÄN</t>
        </is>
      </c>
      <c r="G134" t="inlineStr">
        <is>
          <t>ÖRKELLJUNGA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28221-2023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45099</v>
      </c>
      <c r="E135" s="1" t="n">
        <v>46220</v>
      </c>
      <c r="F135" t="inlineStr">
        <is>
          <t>SKÅNE LÄN</t>
        </is>
      </c>
      <c r="G135" t="inlineStr">
        <is>
          <t>ÖRKELLJUNGA</t>
        </is>
      </c>
      <c r="I135" t="n">
        <v>6.7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56455-2025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45975</v>
      </c>
      <c r="E136" s="1" t="n">
        <v>46220</v>
      </c>
      <c r="F136" t="inlineStr">
        <is>
          <t>SKÅNE LÄN</t>
        </is>
      </c>
      <c r="G136" t="inlineStr">
        <is>
          <t>ÖRKELLJUNGA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11605-2023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44994</v>
      </c>
      <c r="E137" s="1" t="n">
        <v>46220</v>
      </c>
      <c r="F137" t="inlineStr">
        <is>
          <t>SKÅNE LÄN</t>
        </is>
      </c>
      <c r="G137" t="inlineStr">
        <is>
          <t>ÖRKELLJUNGA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23693-2023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45077</v>
      </c>
      <c r="E138" s="1" t="n">
        <v>46220</v>
      </c>
      <c r="F138" t="inlineStr">
        <is>
          <t>SKÅNE LÄN</t>
        </is>
      </c>
      <c r="G138" t="inlineStr">
        <is>
          <t>ÖRKELLJUNGA</t>
        </is>
      </c>
      <c r="I138" t="n">
        <v>4.5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7242-2026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46058</v>
      </c>
      <c r="E139" s="1" t="n">
        <v>46220</v>
      </c>
      <c r="F139" t="inlineStr">
        <is>
          <t>SKÅNE LÄN</t>
        </is>
      </c>
      <c r="G139" t="inlineStr">
        <is>
          <t>ÖRKELLJUNGA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45192-2022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44844</v>
      </c>
      <c r="E140" s="1" t="n">
        <v>46220</v>
      </c>
      <c r="F140" t="inlineStr">
        <is>
          <t>SKÅNE LÄN</t>
        </is>
      </c>
      <c r="G140" t="inlineStr">
        <is>
          <t>ÖRKELLJUNGA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57343-2025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45980</v>
      </c>
      <c r="E141" s="1" t="n">
        <v>46220</v>
      </c>
      <c r="F141" t="inlineStr">
        <is>
          <t>SKÅNE LÄN</t>
        </is>
      </c>
      <c r="G141" t="inlineStr">
        <is>
          <t>ÖRKELLJUNGA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57790-2025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45981</v>
      </c>
      <c r="E142" s="1" t="n">
        <v>46220</v>
      </c>
      <c r="F142" t="inlineStr">
        <is>
          <t>SKÅNE LÄN</t>
        </is>
      </c>
      <c r="G142" t="inlineStr">
        <is>
          <t>ÖRKELLJUNGA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58347-2025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45985</v>
      </c>
      <c r="E143" s="1" t="n">
        <v>46220</v>
      </c>
      <c r="F143" t="inlineStr">
        <is>
          <t>SKÅNE LÄN</t>
        </is>
      </c>
      <c r="G143" t="inlineStr">
        <is>
          <t>ÖRKELLJUNGA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9573-2025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45715</v>
      </c>
      <c r="E144" s="1" t="n">
        <v>46220</v>
      </c>
      <c r="F144" t="inlineStr">
        <is>
          <t>SKÅNE LÄN</t>
        </is>
      </c>
      <c r="G144" t="inlineStr">
        <is>
          <t>ÖRKELLJUNGA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8024-2026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46063</v>
      </c>
      <c r="E145" s="1" t="n">
        <v>46220</v>
      </c>
      <c r="F145" t="inlineStr">
        <is>
          <t>SKÅNE LÄN</t>
        </is>
      </c>
      <c r="G145" t="inlineStr">
        <is>
          <t>ÖRKELLJUNGA</t>
        </is>
      </c>
      <c r="H145" t="inlineStr">
        <is>
          <t>Kommuner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9105-2026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46069</v>
      </c>
      <c r="E146" s="1" t="n">
        <v>46220</v>
      </c>
      <c r="F146" t="inlineStr">
        <is>
          <t>SKÅNE LÄN</t>
        </is>
      </c>
      <c r="G146" t="inlineStr">
        <is>
          <t>ÖRKELLJUNGA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60789-2025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45999</v>
      </c>
      <c r="E147" s="1" t="n">
        <v>46220</v>
      </c>
      <c r="F147" t="inlineStr">
        <is>
          <t>SKÅNE LÄN</t>
        </is>
      </c>
      <c r="G147" t="inlineStr">
        <is>
          <t>ÖRKELLJUNGA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9127-2026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46069</v>
      </c>
      <c r="E148" s="1" t="n">
        <v>46220</v>
      </c>
      <c r="F148" t="inlineStr">
        <is>
          <t>SKÅNE LÄN</t>
        </is>
      </c>
      <c r="G148" t="inlineStr">
        <is>
          <t>ÖRKELLJUNGA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22975-2023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45072</v>
      </c>
      <c r="E149" s="1" t="n">
        <v>46220</v>
      </c>
      <c r="F149" t="inlineStr">
        <is>
          <t>SKÅNE LÄN</t>
        </is>
      </c>
      <c r="G149" t="inlineStr">
        <is>
          <t>ÖRKELLJUNGA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14430-2023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45012</v>
      </c>
      <c r="E150" s="1" t="n">
        <v>46220</v>
      </c>
      <c r="F150" t="inlineStr">
        <is>
          <t>SKÅNE LÄN</t>
        </is>
      </c>
      <c r="G150" t="inlineStr">
        <is>
          <t>ÖRKELLJUNGA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9125-2026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46069</v>
      </c>
      <c r="E151" s="1" t="n">
        <v>46220</v>
      </c>
      <c r="F151" t="inlineStr">
        <is>
          <t>SKÅNE LÄN</t>
        </is>
      </c>
      <c r="G151" t="inlineStr">
        <is>
          <t>ÖRKELLJUNGA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64091-2023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45279</v>
      </c>
      <c r="E152" s="1" t="n">
        <v>46220</v>
      </c>
      <c r="F152" t="inlineStr">
        <is>
          <t>SKÅNE LÄN</t>
        </is>
      </c>
      <c r="G152" t="inlineStr">
        <is>
          <t>ÖRKELLJUNGA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9292-2026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46070</v>
      </c>
      <c r="E153" s="1" t="n">
        <v>46220</v>
      </c>
      <c r="F153" t="inlineStr">
        <is>
          <t>SKÅNE LÄN</t>
        </is>
      </c>
      <c r="G153" t="inlineStr">
        <is>
          <t>ÖRKELLJUNGA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25962-2023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45090</v>
      </c>
      <c r="E154" s="1" t="n">
        <v>46220</v>
      </c>
      <c r="F154" t="inlineStr">
        <is>
          <t>SKÅNE LÄN</t>
        </is>
      </c>
      <c r="G154" t="inlineStr">
        <is>
          <t>ÖRKELLJUNGA</t>
        </is>
      </c>
      <c r="I154" t="n">
        <v>7.3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30136-2022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44757</v>
      </c>
      <c r="E155" s="1" t="n">
        <v>46220</v>
      </c>
      <c r="F155" t="inlineStr">
        <is>
          <t>SKÅNE LÄN</t>
        </is>
      </c>
      <c r="G155" t="inlineStr">
        <is>
          <t>ÖRKELLJUNGA</t>
        </is>
      </c>
      <c r="H155" t="inlineStr">
        <is>
          <t>Kyrkan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38214-2023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45161</v>
      </c>
      <c r="E156" s="1" t="n">
        <v>46220</v>
      </c>
      <c r="F156" t="inlineStr">
        <is>
          <t>SKÅNE LÄN</t>
        </is>
      </c>
      <c r="G156" t="inlineStr">
        <is>
          <t>ÖRKELLJUNGA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10473-2026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46077</v>
      </c>
      <c r="E157" s="1" t="n">
        <v>46220</v>
      </c>
      <c r="F157" t="inlineStr">
        <is>
          <t>SKÅNE LÄN</t>
        </is>
      </c>
      <c r="G157" t="inlineStr">
        <is>
          <t>ÖRKELLJUNGA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10466-2026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46077</v>
      </c>
      <c r="E158" s="1" t="n">
        <v>46220</v>
      </c>
      <c r="F158" t="inlineStr">
        <is>
          <t>SKÅNE LÄN</t>
        </is>
      </c>
      <c r="G158" t="inlineStr">
        <is>
          <t>ÖRKELLJUNGA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10480-2026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46077</v>
      </c>
      <c r="E159" s="1" t="n">
        <v>46220</v>
      </c>
      <c r="F159" t="inlineStr">
        <is>
          <t>SKÅNE LÄN</t>
        </is>
      </c>
      <c r="G159" t="inlineStr">
        <is>
          <t>ÖRKELLJUNGA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23739-2023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45077</v>
      </c>
      <c r="E160" s="1" t="n">
        <v>46220</v>
      </c>
      <c r="F160" t="inlineStr">
        <is>
          <t>SKÅNE LÄN</t>
        </is>
      </c>
      <c r="G160" t="inlineStr">
        <is>
          <t>ÖRKELLJUNGA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34591-2023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45140</v>
      </c>
      <c r="E161" s="1" t="n">
        <v>46220</v>
      </c>
      <c r="F161" t="inlineStr">
        <is>
          <t>SKÅNE LÄN</t>
        </is>
      </c>
      <c r="G161" t="inlineStr">
        <is>
          <t>ÖRKELLJUNGA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13283-2026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46093</v>
      </c>
      <c r="E162" s="1" t="n">
        <v>46220</v>
      </c>
      <c r="F162" t="inlineStr">
        <is>
          <t>SKÅNE LÄN</t>
        </is>
      </c>
      <c r="G162" t="inlineStr">
        <is>
          <t>ÖRKELLJUNGA</t>
        </is>
      </c>
      <c r="I162" t="n">
        <v>8.1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9559-2022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44617</v>
      </c>
      <c r="E163" s="1" t="n">
        <v>46220</v>
      </c>
      <c r="F163" t="inlineStr">
        <is>
          <t>SKÅNE LÄN</t>
        </is>
      </c>
      <c r="G163" t="inlineStr">
        <is>
          <t>ÖRKELLJUNGA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31925-2024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45510</v>
      </c>
      <c r="E164" s="1" t="n">
        <v>46220</v>
      </c>
      <c r="F164" t="inlineStr">
        <is>
          <t>SKÅNE LÄN</t>
        </is>
      </c>
      <c r="G164" t="inlineStr">
        <is>
          <t>ÖRKELLJUNGA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30638-2023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45112</v>
      </c>
      <c r="E165" s="1" t="n">
        <v>46220</v>
      </c>
      <c r="F165" t="inlineStr">
        <is>
          <t>SKÅNE LÄN</t>
        </is>
      </c>
      <c r="G165" t="inlineStr">
        <is>
          <t>ÖRKELLJUNGA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2088-2023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44939</v>
      </c>
      <c r="E166" s="1" t="n">
        <v>46220</v>
      </c>
      <c r="F166" t="inlineStr">
        <is>
          <t>SKÅNE LÄN</t>
        </is>
      </c>
      <c r="G166" t="inlineStr">
        <is>
          <t>ÖRKELLJUNGA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14734-2026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46101</v>
      </c>
      <c r="E167" s="1" t="n">
        <v>46220</v>
      </c>
      <c r="F167" t="inlineStr">
        <is>
          <t>SKÅNE LÄN</t>
        </is>
      </c>
      <c r="G167" t="inlineStr">
        <is>
          <t>ÖRKELLJUNGA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15240-2026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46105</v>
      </c>
      <c r="E168" s="1" t="n">
        <v>46220</v>
      </c>
      <c r="F168" t="inlineStr">
        <is>
          <t>SKÅNE LÄN</t>
        </is>
      </c>
      <c r="G168" t="inlineStr">
        <is>
          <t>ÖRKELLJUNGA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15236-2026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46105</v>
      </c>
      <c r="E169" s="1" t="n">
        <v>46220</v>
      </c>
      <c r="F169" t="inlineStr">
        <is>
          <t>SKÅNE LÄN</t>
        </is>
      </c>
      <c r="G169" t="inlineStr">
        <is>
          <t>ÖRKELLJUNGA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15108-2026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46105</v>
      </c>
      <c r="E170" s="1" t="n">
        <v>46220</v>
      </c>
      <c r="F170" t="inlineStr">
        <is>
          <t>SKÅNE LÄN</t>
        </is>
      </c>
      <c r="G170" t="inlineStr">
        <is>
          <t>ÖRKELLJUNGA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16363-2026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46111</v>
      </c>
      <c r="E171" s="1" t="n">
        <v>46220</v>
      </c>
      <c r="F171" t="inlineStr">
        <is>
          <t>SKÅNE LÄN</t>
        </is>
      </c>
      <c r="G171" t="inlineStr">
        <is>
          <t>ÖRKELLJUNGA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16283-2026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46111</v>
      </c>
      <c r="E172" s="1" t="n">
        <v>46220</v>
      </c>
      <c r="F172" t="inlineStr">
        <is>
          <t>SKÅNE LÄN</t>
        </is>
      </c>
      <c r="G172" t="inlineStr">
        <is>
          <t>ÖRKELLJUNGA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52528-2021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44466</v>
      </c>
      <c r="E173" s="1" t="n">
        <v>46220</v>
      </c>
      <c r="F173" t="inlineStr">
        <is>
          <t>SKÅNE LÄN</t>
        </is>
      </c>
      <c r="G173" t="inlineStr">
        <is>
          <t>ÖRKELLJUNGA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36838-2024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45538</v>
      </c>
      <c r="E174" s="1" t="n">
        <v>46220</v>
      </c>
      <c r="F174" t="inlineStr">
        <is>
          <t>SKÅNE LÄN</t>
        </is>
      </c>
      <c r="G174" t="inlineStr">
        <is>
          <t>ÖRKELLJUNGA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17608-2026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46121</v>
      </c>
      <c r="E175" s="1" t="n">
        <v>46220</v>
      </c>
      <c r="F175" t="inlineStr">
        <is>
          <t>SKÅNE LÄN</t>
        </is>
      </c>
      <c r="G175" t="inlineStr">
        <is>
          <t>ÖRKELLJUNGA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1904-2023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44939</v>
      </c>
      <c r="E176" s="1" t="n">
        <v>46220</v>
      </c>
      <c r="F176" t="inlineStr">
        <is>
          <t>SKÅNE LÄN</t>
        </is>
      </c>
      <c r="G176" t="inlineStr">
        <is>
          <t>ÖRKELLJUNGA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35490-2025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45855</v>
      </c>
      <c r="E177" s="1" t="n">
        <v>46220</v>
      </c>
      <c r="F177" t="inlineStr">
        <is>
          <t>SKÅNE LÄN</t>
        </is>
      </c>
      <c r="G177" t="inlineStr">
        <is>
          <t>ÖRKELLJUNGA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8204-2023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44971</v>
      </c>
      <c r="E178" s="1" t="n">
        <v>46220</v>
      </c>
      <c r="F178" t="inlineStr">
        <is>
          <t>SKÅNE LÄN</t>
        </is>
      </c>
      <c r="G178" t="inlineStr">
        <is>
          <t>ÖRKELLJUNGA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11121-2025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45723</v>
      </c>
      <c r="E179" s="1" t="n">
        <v>46220</v>
      </c>
      <c r="F179" t="inlineStr">
        <is>
          <t>SKÅNE LÄN</t>
        </is>
      </c>
      <c r="G179" t="inlineStr">
        <is>
          <t>ÖRKELLJUNGA</t>
        </is>
      </c>
      <c r="I179" t="n">
        <v>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3830-2022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44587</v>
      </c>
      <c r="E180" s="1" t="n">
        <v>46220</v>
      </c>
      <c r="F180" t="inlineStr">
        <is>
          <t>SKÅNE LÄN</t>
        </is>
      </c>
      <c r="G180" t="inlineStr">
        <is>
          <t>ÖRKELLJUNGA</t>
        </is>
      </c>
      <c r="I180" t="n">
        <v>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13611-2025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45736</v>
      </c>
      <c r="E181" s="1" t="n">
        <v>46220</v>
      </c>
      <c r="F181" t="inlineStr">
        <is>
          <t>SKÅNE LÄN</t>
        </is>
      </c>
      <c r="G181" t="inlineStr">
        <is>
          <t>ÖRKELLJUNGA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21152-2022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44704</v>
      </c>
      <c r="E182" s="1" t="n">
        <v>46220</v>
      </c>
      <c r="F182" t="inlineStr">
        <is>
          <t>SKÅNE LÄN</t>
        </is>
      </c>
      <c r="G182" t="inlineStr">
        <is>
          <t>ÖRKELLJUNGA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58130-2022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44900</v>
      </c>
      <c r="E183" s="1" t="n">
        <v>46220</v>
      </c>
      <c r="F183" t="inlineStr">
        <is>
          <t>SKÅNE LÄN</t>
        </is>
      </c>
      <c r="G183" t="inlineStr">
        <is>
          <t>ÖRKELLJUNGA</t>
        </is>
      </c>
      <c r="I183" t="n">
        <v>23.2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25699-2026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46178</v>
      </c>
      <c r="E184" s="1" t="n">
        <v>46220</v>
      </c>
      <c r="F184" t="inlineStr">
        <is>
          <t>SKÅNE LÄN</t>
        </is>
      </c>
      <c r="G184" t="inlineStr">
        <is>
          <t>ÖRKELLJUNGA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25772-2026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46178</v>
      </c>
      <c r="E185" s="1" t="n">
        <v>46220</v>
      </c>
      <c r="F185" t="inlineStr">
        <is>
          <t>SKÅNE LÄN</t>
        </is>
      </c>
      <c r="G185" t="inlineStr">
        <is>
          <t>ÖRKELLJUNGA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25778-2026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46178</v>
      </c>
      <c r="E186" s="1" t="n">
        <v>46220</v>
      </c>
      <c r="F186" t="inlineStr">
        <is>
          <t>SKÅNE LÄN</t>
        </is>
      </c>
      <c r="G186" t="inlineStr">
        <is>
          <t>ÖRKELLJUNGA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25789-2026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46178</v>
      </c>
      <c r="E187" s="1" t="n">
        <v>46220</v>
      </c>
      <c r="F187" t="inlineStr">
        <is>
          <t>SKÅNE LÄN</t>
        </is>
      </c>
      <c r="G187" t="inlineStr">
        <is>
          <t>ÖRKELLJUNGA</t>
        </is>
      </c>
      <c r="I187" t="n">
        <v>4.1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25674-2026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46178</v>
      </c>
      <c r="E188" s="1" t="n">
        <v>46220</v>
      </c>
      <c r="F188" t="inlineStr">
        <is>
          <t>SKÅNE LÄN</t>
        </is>
      </c>
      <c r="G188" t="inlineStr">
        <is>
          <t>ÖRKELLJUNGA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981-2023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44935</v>
      </c>
      <c r="E189" s="1" t="n">
        <v>46220</v>
      </c>
      <c r="F189" t="inlineStr">
        <is>
          <t>SKÅNE LÄN</t>
        </is>
      </c>
      <c r="G189" t="inlineStr">
        <is>
          <t>ÖRKELLJUNGA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44864-2025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45918</v>
      </c>
      <c r="E190" s="1" t="n">
        <v>46220</v>
      </c>
      <c r="F190" t="inlineStr">
        <is>
          <t>SKÅNE LÄN</t>
        </is>
      </c>
      <c r="G190" t="inlineStr">
        <is>
          <t>ÖRKELLJUNGA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25765-2026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46178</v>
      </c>
      <c r="E191" s="1" t="n">
        <v>46220</v>
      </c>
      <c r="F191" t="inlineStr">
        <is>
          <t>SKÅNE LÄN</t>
        </is>
      </c>
      <c r="G191" t="inlineStr">
        <is>
          <t>ÖRKELLJUNGA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2359-2023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44942</v>
      </c>
      <c r="E192" s="1" t="n">
        <v>46220</v>
      </c>
      <c r="F192" t="inlineStr">
        <is>
          <t>SKÅNE LÄN</t>
        </is>
      </c>
      <c r="G192" t="inlineStr">
        <is>
          <t>ÖRKELLJUNGA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43992-2025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45915</v>
      </c>
      <c r="E193" s="1" t="n">
        <v>46220</v>
      </c>
      <c r="F193" t="inlineStr">
        <is>
          <t>SKÅNE LÄN</t>
        </is>
      </c>
      <c r="G193" t="inlineStr">
        <is>
          <t>ÖRKELLJUNGA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25912-2026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46178</v>
      </c>
      <c r="E194" s="1" t="n">
        <v>46220</v>
      </c>
      <c r="F194" t="inlineStr">
        <is>
          <t>SKÅNE LÄN</t>
        </is>
      </c>
      <c r="G194" t="inlineStr">
        <is>
          <t>ÖRKELLJUNGA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55049-2023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45237</v>
      </c>
      <c r="E195" s="1" t="n">
        <v>46220</v>
      </c>
      <c r="F195" t="inlineStr">
        <is>
          <t>SKÅNE LÄN</t>
        </is>
      </c>
      <c r="G195" t="inlineStr">
        <is>
          <t>ÖRKELLJUNGA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15987-2025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45749</v>
      </c>
      <c r="E196" s="1" t="n">
        <v>46220</v>
      </c>
      <c r="F196" t="inlineStr">
        <is>
          <t>SKÅNE LÄN</t>
        </is>
      </c>
      <c r="G196" t="inlineStr">
        <is>
          <t>ÖRKELLJUNGA</t>
        </is>
      </c>
      <c r="I196" t="n">
        <v>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57208-2022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44895</v>
      </c>
      <c r="E197" s="1" t="n">
        <v>46220</v>
      </c>
      <c r="F197" t="inlineStr">
        <is>
          <t>SKÅNE LÄN</t>
        </is>
      </c>
      <c r="G197" t="inlineStr">
        <is>
          <t>ÖRKELLJUNGA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3205-2025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45679</v>
      </c>
      <c r="E198" s="1" t="n">
        <v>46220</v>
      </c>
      <c r="F198" t="inlineStr">
        <is>
          <t>SKÅNE LÄN</t>
        </is>
      </c>
      <c r="G198" t="inlineStr">
        <is>
          <t>ÖRKELLJUNGA</t>
        </is>
      </c>
      <c r="H198" t="inlineStr">
        <is>
          <t>Kyrkan</t>
        </is>
      </c>
      <c r="I198" t="n">
        <v>6.7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25794-2026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46178</v>
      </c>
      <c r="E199" s="1" t="n">
        <v>46220</v>
      </c>
      <c r="F199" t="inlineStr">
        <is>
          <t>SKÅNE LÄN</t>
        </is>
      </c>
      <c r="G199" t="inlineStr">
        <is>
          <t>ÖRKELLJUNGA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3864-2023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44951</v>
      </c>
      <c r="E200" s="1" t="n">
        <v>46220</v>
      </c>
      <c r="F200" t="inlineStr">
        <is>
          <t>SKÅNE LÄN</t>
        </is>
      </c>
      <c r="G200" t="inlineStr">
        <is>
          <t>ÖRKELLJUNGA</t>
        </is>
      </c>
      <c r="I200" t="n">
        <v>6.2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25965-2023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45090</v>
      </c>
      <c r="E201" s="1" t="n">
        <v>46220</v>
      </c>
      <c r="F201" t="inlineStr">
        <is>
          <t>SKÅNE LÄN</t>
        </is>
      </c>
      <c r="G201" t="inlineStr">
        <is>
          <t>ÖRKELLJUNGA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38928-2024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45548</v>
      </c>
      <c r="E202" s="1" t="n">
        <v>46220</v>
      </c>
      <c r="F202" t="inlineStr">
        <is>
          <t>SKÅNE LÄN</t>
        </is>
      </c>
      <c r="G202" t="inlineStr">
        <is>
          <t>ÖRKELLJUNGA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25780-2026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46178</v>
      </c>
      <c r="E203" s="1" t="n">
        <v>46220</v>
      </c>
      <c r="F203" t="inlineStr">
        <is>
          <t>SKÅNE LÄN</t>
        </is>
      </c>
      <c r="G203" t="inlineStr">
        <is>
          <t>ÖRKELLJUNGA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7707-2024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45349</v>
      </c>
      <c r="E204" s="1" t="n">
        <v>46220</v>
      </c>
      <c r="F204" t="inlineStr">
        <is>
          <t>SKÅNE LÄN</t>
        </is>
      </c>
      <c r="G204" t="inlineStr">
        <is>
          <t>ÖRKELLJUNGA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26597-2026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46183</v>
      </c>
      <c r="E205" s="1" t="n">
        <v>46220</v>
      </c>
      <c r="F205" t="inlineStr">
        <is>
          <t>SKÅNE LÄN</t>
        </is>
      </c>
      <c r="G205" t="inlineStr">
        <is>
          <t>ÖRKELLJUNGA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14254-2023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45009</v>
      </c>
      <c r="E206" s="1" t="n">
        <v>46220</v>
      </c>
      <c r="F206" t="inlineStr">
        <is>
          <t>SKÅNE LÄN</t>
        </is>
      </c>
      <c r="G206" t="inlineStr">
        <is>
          <t>ÖRKELLJUNGA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20671-2026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46141</v>
      </c>
      <c r="E207" s="1" t="n">
        <v>46220</v>
      </c>
      <c r="F207" t="inlineStr">
        <is>
          <t>SKÅNE LÄN</t>
        </is>
      </c>
      <c r="G207" t="inlineStr">
        <is>
          <t>ÖRKELLJUNGA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35168-2025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45852</v>
      </c>
      <c r="E208" s="1" t="n">
        <v>46220</v>
      </c>
      <c r="F208" t="inlineStr">
        <is>
          <t>SKÅNE LÄN</t>
        </is>
      </c>
      <c r="G208" t="inlineStr">
        <is>
          <t>ÖRKELLJUNGA</t>
        </is>
      </c>
      <c r="I208" t="n">
        <v>5.2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26583-2026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46183</v>
      </c>
      <c r="E209" s="1" t="n">
        <v>46220</v>
      </c>
      <c r="F209" t="inlineStr">
        <is>
          <t>SKÅNE LÄN</t>
        </is>
      </c>
      <c r="G209" t="inlineStr">
        <is>
          <t>ÖRKELLJUNGA</t>
        </is>
      </c>
      <c r="I209" t="n">
        <v>8.199999999999999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26564-2026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46183</v>
      </c>
      <c r="E210" s="1" t="n">
        <v>46220</v>
      </c>
      <c r="F210" t="inlineStr">
        <is>
          <t>SKÅNE LÄN</t>
        </is>
      </c>
      <c r="G210" t="inlineStr">
        <is>
          <t>ÖRKELLJUNGA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26578-2026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46183</v>
      </c>
      <c r="E211" s="1" t="n">
        <v>46220</v>
      </c>
      <c r="F211" t="inlineStr">
        <is>
          <t>SKÅNE LÄN</t>
        </is>
      </c>
      <c r="G211" t="inlineStr">
        <is>
          <t>ÖRKELLJUNGA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26580-2026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46183</v>
      </c>
      <c r="E212" s="1" t="n">
        <v>46220</v>
      </c>
      <c r="F212" t="inlineStr">
        <is>
          <t>SKÅNE LÄN</t>
        </is>
      </c>
      <c r="G212" t="inlineStr">
        <is>
          <t>ÖRKELLJUNGA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26594-2026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46183</v>
      </c>
      <c r="E213" s="1" t="n">
        <v>46220</v>
      </c>
      <c r="F213" t="inlineStr">
        <is>
          <t>SKÅNE LÄN</t>
        </is>
      </c>
      <c r="G213" t="inlineStr">
        <is>
          <t>ÖRKELLJUNGA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26596-2026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46183</v>
      </c>
      <c r="E214" s="1" t="n">
        <v>46220</v>
      </c>
      <c r="F214" t="inlineStr">
        <is>
          <t>SKÅNE LÄN</t>
        </is>
      </c>
      <c r="G214" t="inlineStr">
        <is>
          <t>ÖRKELLJUNGA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26593-2026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46183</v>
      </c>
      <c r="E215" s="1" t="n">
        <v>46220</v>
      </c>
      <c r="F215" t="inlineStr">
        <is>
          <t>SKÅNE LÄN</t>
        </is>
      </c>
      <c r="G215" t="inlineStr">
        <is>
          <t>ÖRKELLJUNGA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47871-2022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44855</v>
      </c>
      <c r="E216" s="1" t="n">
        <v>46220</v>
      </c>
      <c r="F216" t="inlineStr">
        <is>
          <t>SKÅNE LÄN</t>
        </is>
      </c>
      <c r="G216" t="inlineStr">
        <is>
          <t>ÖRKELLJUNGA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40190-2022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44820</v>
      </c>
      <c r="E217" s="1" t="n">
        <v>46220</v>
      </c>
      <c r="F217" t="inlineStr">
        <is>
          <t>SKÅNE LÄN</t>
        </is>
      </c>
      <c r="G217" t="inlineStr">
        <is>
          <t>ÖRKELLJUNGA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27146-2026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46188</v>
      </c>
      <c r="E218" s="1" t="n">
        <v>46220</v>
      </c>
      <c r="F218" t="inlineStr">
        <is>
          <t>SKÅNE LÄN</t>
        </is>
      </c>
      <c r="G218" t="inlineStr">
        <is>
          <t>ÖRKELLJUNGA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40017-2023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45168</v>
      </c>
      <c r="E219" s="1" t="n">
        <v>46220</v>
      </c>
      <c r="F219" t="inlineStr">
        <is>
          <t>SKÅNE LÄN</t>
        </is>
      </c>
      <c r="G219" t="inlineStr">
        <is>
          <t>ÖRKELLJUNGA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34279-2023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45138</v>
      </c>
      <c r="E220" s="1" t="n">
        <v>46220</v>
      </c>
      <c r="F220" t="inlineStr">
        <is>
          <t>SKÅNE LÄN</t>
        </is>
      </c>
      <c r="G220" t="inlineStr">
        <is>
          <t>ÖRKELLJUNGA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54661-2023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45235</v>
      </c>
      <c r="E221" s="1" t="n">
        <v>46220</v>
      </c>
      <c r="F221" t="inlineStr">
        <is>
          <t>SKÅNE LÄN</t>
        </is>
      </c>
      <c r="G221" t="inlineStr">
        <is>
          <t>ÖRKELLJUNGA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54646-2023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45235</v>
      </c>
      <c r="E222" s="1" t="n">
        <v>46220</v>
      </c>
      <c r="F222" t="inlineStr">
        <is>
          <t>SKÅNE LÄN</t>
        </is>
      </c>
      <c r="G222" t="inlineStr">
        <is>
          <t>ÖRKELLJUNGA</t>
        </is>
      </c>
      <c r="I222" t="n">
        <v>5.3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22550-2026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46155</v>
      </c>
      <c r="E223" s="1" t="n">
        <v>46220</v>
      </c>
      <c r="F223" t="inlineStr">
        <is>
          <t>SKÅNE LÄN</t>
        </is>
      </c>
      <c r="G223" t="inlineStr">
        <is>
          <t>ÖRKELLJUNGA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2092-2023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44939</v>
      </c>
      <c r="E224" s="1" t="n">
        <v>46220</v>
      </c>
      <c r="F224" t="inlineStr">
        <is>
          <t>SKÅNE LÄN</t>
        </is>
      </c>
      <c r="G224" t="inlineStr">
        <is>
          <t>ÖRKELLJUNGA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21023-2024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45439</v>
      </c>
      <c r="E225" s="1" t="n">
        <v>46220</v>
      </c>
      <c r="F225" t="inlineStr">
        <is>
          <t>SKÅNE LÄN</t>
        </is>
      </c>
      <c r="G225" t="inlineStr">
        <is>
          <t>ÖRKELLJUNGA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62180-2022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44915</v>
      </c>
      <c r="E226" s="1" t="n">
        <v>46220</v>
      </c>
      <c r="F226" t="inlineStr">
        <is>
          <t>SKÅNE LÄN</t>
        </is>
      </c>
      <c r="G226" t="inlineStr">
        <is>
          <t>ÖRKELLJUNGA</t>
        </is>
      </c>
      <c r="H226" t="inlineStr">
        <is>
          <t>Kyrkan</t>
        </is>
      </c>
      <c r="I226" t="n">
        <v>7.5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22552-2026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46155</v>
      </c>
      <c r="E227" s="1" t="n">
        <v>46220</v>
      </c>
      <c r="F227" t="inlineStr">
        <is>
          <t>SKÅNE LÄN</t>
        </is>
      </c>
      <c r="G227" t="inlineStr">
        <is>
          <t>ÖRKELLJUNGA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23990-2023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45078</v>
      </c>
      <c r="E228" s="1" t="n">
        <v>46220</v>
      </c>
      <c r="F228" t="inlineStr">
        <is>
          <t>SKÅNE LÄN</t>
        </is>
      </c>
      <c r="G228" t="inlineStr">
        <is>
          <t>ÖRKELLJUNGA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34631-2025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45848</v>
      </c>
      <c r="E229" s="1" t="n">
        <v>46220</v>
      </c>
      <c r="F229" t="inlineStr">
        <is>
          <t>SKÅNE LÄN</t>
        </is>
      </c>
      <c r="G229" t="inlineStr">
        <is>
          <t>ÖRKELLJUNGA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29530-2026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46203</v>
      </c>
      <c r="E230" s="1" t="n">
        <v>46220</v>
      </c>
      <c r="F230" t="inlineStr">
        <is>
          <t>SKÅNE LÄN</t>
        </is>
      </c>
      <c r="G230" t="inlineStr">
        <is>
          <t>ÖRKELLJUNGA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29401-2026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46203</v>
      </c>
      <c r="E231" s="1" t="n">
        <v>46220</v>
      </c>
      <c r="F231" t="inlineStr">
        <is>
          <t>SKÅNE LÄN</t>
        </is>
      </c>
      <c r="G231" t="inlineStr">
        <is>
          <t>ÖRKELLJUNGA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1935-2024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45308</v>
      </c>
      <c r="E232" s="1" t="n">
        <v>46220</v>
      </c>
      <c r="F232" t="inlineStr">
        <is>
          <t>SKÅNE LÄN</t>
        </is>
      </c>
      <c r="G232" t="inlineStr">
        <is>
          <t>ÖRKELLJUNGA</t>
        </is>
      </c>
      <c r="I232" t="n">
        <v>0.2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29528-2026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46203</v>
      </c>
      <c r="E233" s="1" t="n">
        <v>46220</v>
      </c>
      <c r="F233" t="inlineStr">
        <is>
          <t>SKÅNE LÄN</t>
        </is>
      </c>
      <c r="G233" t="inlineStr">
        <is>
          <t>ÖRKELLJUNGA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52372-2021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44465</v>
      </c>
      <c r="E234" s="1" t="n">
        <v>46220</v>
      </c>
      <c r="F234" t="inlineStr">
        <is>
          <t>SKÅNE LÄN</t>
        </is>
      </c>
      <c r="G234" t="inlineStr">
        <is>
          <t>ÖRKELLJUNGA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29529-2026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46203</v>
      </c>
      <c r="E235" s="1" t="n">
        <v>46220</v>
      </c>
      <c r="F235" t="inlineStr">
        <is>
          <t>SKÅNE LÄN</t>
        </is>
      </c>
      <c r="G235" t="inlineStr">
        <is>
          <t>ÖRKELLJUNGA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22406-2024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45446</v>
      </c>
      <c r="E236" s="1" t="n">
        <v>46220</v>
      </c>
      <c r="F236" t="inlineStr">
        <is>
          <t>SKÅNE LÄN</t>
        </is>
      </c>
      <c r="G236" t="inlineStr">
        <is>
          <t>ÖRKELLJUNGA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26179-2023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45091</v>
      </c>
      <c r="E237" s="1" t="n">
        <v>46220</v>
      </c>
      <c r="F237" t="inlineStr">
        <is>
          <t>SKÅNE LÄN</t>
        </is>
      </c>
      <c r="G237" t="inlineStr">
        <is>
          <t>ÖRKELLJUNGA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27967-2024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45476</v>
      </c>
      <c r="E238" s="1" t="n">
        <v>46220</v>
      </c>
      <c r="F238" t="inlineStr">
        <is>
          <t>SKÅNE LÄN</t>
        </is>
      </c>
      <c r="G238" t="inlineStr">
        <is>
          <t>ÖRKELLJUNGA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26837-2022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44740</v>
      </c>
      <c r="E239" s="1" t="n">
        <v>46220</v>
      </c>
      <c r="F239" t="inlineStr">
        <is>
          <t>SKÅNE LÄN</t>
        </is>
      </c>
      <c r="G239" t="inlineStr">
        <is>
          <t>ÖRKELLJUNGA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25967-2023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45090</v>
      </c>
      <c r="E240" s="1" t="n">
        <v>46220</v>
      </c>
      <c r="F240" t="inlineStr">
        <is>
          <t>SKÅNE LÄN</t>
        </is>
      </c>
      <c r="G240" t="inlineStr">
        <is>
          <t>ÖRKELLJUNGA</t>
        </is>
      </c>
      <c r="I240" t="n">
        <v>4.9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29334-2022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44752</v>
      </c>
      <c r="E241" s="1" t="n">
        <v>46220</v>
      </c>
      <c r="F241" t="inlineStr">
        <is>
          <t>SKÅNE LÄN</t>
        </is>
      </c>
      <c r="G241" t="inlineStr">
        <is>
          <t>ÖRKELLJUNGA</t>
        </is>
      </c>
      <c r="H241" t="inlineStr">
        <is>
          <t>Kommuner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5941-2025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45695</v>
      </c>
      <c r="E242" s="1" t="n">
        <v>46220</v>
      </c>
      <c r="F242" t="inlineStr">
        <is>
          <t>SKÅNE LÄN</t>
        </is>
      </c>
      <c r="G242" t="inlineStr">
        <is>
          <t>ÖRKELLJUNGA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29335-2022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44752</v>
      </c>
      <c r="E243" s="1" t="n">
        <v>46220</v>
      </c>
      <c r="F243" t="inlineStr">
        <is>
          <t>SKÅNE LÄN</t>
        </is>
      </c>
      <c r="G243" t="inlineStr">
        <is>
          <t>ÖRKELLJUNGA</t>
        </is>
      </c>
      <c r="H243" t="inlineStr">
        <is>
          <t>Kommuner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44882-2022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44841</v>
      </c>
      <c r="E244" s="1" t="n">
        <v>46220</v>
      </c>
      <c r="F244" t="inlineStr">
        <is>
          <t>SKÅNE LÄN</t>
        </is>
      </c>
      <c r="G244" t="inlineStr">
        <is>
          <t>ÖRKELLJUNGA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56460-2023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45243</v>
      </c>
      <c r="E245" s="1" t="n">
        <v>46220</v>
      </c>
      <c r="F245" t="inlineStr">
        <is>
          <t>SKÅNE LÄN</t>
        </is>
      </c>
      <c r="G245" t="inlineStr">
        <is>
          <t>ÖRKELLJUNGA</t>
        </is>
      </c>
      <c r="I245" t="n">
        <v>5.3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1783-2025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45671</v>
      </c>
      <c r="E246" s="1" t="n">
        <v>46220</v>
      </c>
      <c r="F246" t="inlineStr">
        <is>
          <t>SKÅNE LÄN</t>
        </is>
      </c>
      <c r="G246" t="inlineStr">
        <is>
          <t>ÖRKELLJUNGA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26178-2023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45091</v>
      </c>
      <c r="E247" s="1" t="n">
        <v>46220</v>
      </c>
      <c r="F247" t="inlineStr">
        <is>
          <t>SKÅNE LÄN</t>
        </is>
      </c>
      <c r="G247" t="inlineStr">
        <is>
          <t>ÖRKELLJUNGA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51577-2023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45222</v>
      </c>
      <c r="E248" s="1" t="n">
        <v>46220</v>
      </c>
      <c r="F248" t="inlineStr">
        <is>
          <t>SKÅNE LÄN</t>
        </is>
      </c>
      <c r="G248" t="inlineStr">
        <is>
          <t>ÖRKELLJUNGA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63029-2023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45272</v>
      </c>
      <c r="E249" s="1" t="n">
        <v>46220</v>
      </c>
      <c r="F249" t="inlineStr">
        <is>
          <t>SKÅNE LÄN</t>
        </is>
      </c>
      <c r="G249" t="inlineStr">
        <is>
          <t>ÖRKELLJUNGA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58284-2023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45250</v>
      </c>
      <c r="E250" s="1" t="n">
        <v>46220</v>
      </c>
      <c r="F250" t="inlineStr">
        <is>
          <t>SKÅNE LÄN</t>
        </is>
      </c>
      <c r="G250" t="inlineStr">
        <is>
          <t>ÖRKELLJUNGA</t>
        </is>
      </c>
      <c r="I250" t="n">
        <v>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27497-2024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45474</v>
      </c>
      <c r="E251" s="1" t="n">
        <v>46220</v>
      </c>
      <c r="F251" t="inlineStr">
        <is>
          <t>SKÅNE LÄN</t>
        </is>
      </c>
      <c r="G251" t="inlineStr">
        <is>
          <t>ÖRKELLJUNGA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48966-2023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45209</v>
      </c>
      <c r="E252" s="1" t="n">
        <v>46220</v>
      </c>
      <c r="F252" t="inlineStr">
        <is>
          <t>SKÅNE LÄN</t>
        </is>
      </c>
      <c r="G252" t="inlineStr">
        <is>
          <t>ÖRKELLJUNGA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2405-2025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45674</v>
      </c>
      <c r="E253" s="1" t="n">
        <v>46220</v>
      </c>
      <c r="F253" t="inlineStr">
        <is>
          <t>SKÅNE LÄN</t>
        </is>
      </c>
      <c r="G253" t="inlineStr">
        <is>
          <t>ÖRKELLJUNGA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27540-2024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45474</v>
      </c>
      <c r="E254" s="1" t="n">
        <v>46220</v>
      </c>
      <c r="F254" t="inlineStr">
        <is>
          <t>SKÅNE LÄN</t>
        </is>
      </c>
      <c r="G254" t="inlineStr">
        <is>
          <t>ÖRKELLJUNGA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9773-2024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45362</v>
      </c>
      <c r="E255" s="1" t="n">
        <v>46220</v>
      </c>
      <c r="F255" t="inlineStr">
        <is>
          <t>SKÅNE LÄN</t>
        </is>
      </c>
      <c r="G255" t="inlineStr">
        <is>
          <t>ÖRKELLJUNGA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57795-2022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44897</v>
      </c>
      <c r="E256" s="1" t="n">
        <v>46220</v>
      </c>
      <c r="F256" t="inlineStr">
        <is>
          <t>SKÅNE LÄN</t>
        </is>
      </c>
      <c r="G256" t="inlineStr">
        <is>
          <t>ÖRKELLJUNGA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50279-2023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45216</v>
      </c>
      <c r="E257" s="1" t="n">
        <v>46220</v>
      </c>
      <c r="F257" t="inlineStr">
        <is>
          <t>SKÅNE LÄN</t>
        </is>
      </c>
      <c r="G257" t="inlineStr">
        <is>
          <t>ÖRKELLJUNGA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53676-2025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45960</v>
      </c>
      <c r="E258" s="1" t="n">
        <v>46220</v>
      </c>
      <c r="F258" t="inlineStr">
        <is>
          <t>SKÅNE LÄN</t>
        </is>
      </c>
      <c r="G258" t="inlineStr">
        <is>
          <t>ÖRKELLJUNGA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33796-2023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45133</v>
      </c>
      <c r="E259" s="1" t="n">
        <v>46220</v>
      </c>
      <c r="F259" t="inlineStr">
        <is>
          <t>SKÅNE LÄN</t>
        </is>
      </c>
      <c r="G259" t="inlineStr">
        <is>
          <t>ÖRKELLJUNGA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44846-2025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45918</v>
      </c>
      <c r="E260" s="1" t="n">
        <v>46220</v>
      </c>
      <c r="F260" t="inlineStr">
        <is>
          <t>SKÅNE LÄN</t>
        </is>
      </c>
      <c r="G260" t="inlineStr">
        <is>
          <t>ÖRKELLJUNGA</t>
        </is>
      </c>
      <c r="I260" t="n">
        <v>3.4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2090-2023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44939</v>
      </c>
      <c r="E261" s="1" t="n">
        <v>46220</v>
      </c>
      <c r="F261" t="inlineStr">
        <is>
          <t>SKÅNE LÄN</t>
        </is>
      </c>
      <c r="G261" t="inlineStr">
        <is>
          <t>ÖRKELLJUNGA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57161-2022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44895</v>
      </c>
      <c r="E262" s="1" t="n">
        <v>46220</v>
      </c>
      <c r="F262" t="inlineStr">
        <is>
          <t>SKÅNE LÄN</t>
        </is>
      </c>
      <c r="G262" t="inlineStr">
        <is>
          <t>ÖRKELLJUNGA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2086-2023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44939</v>
      </c>
      <c r="E263" s="1" t="n">
        <v>46220</v>
      </c>
      <c r="F263" t="inlineStr">
        <is>
          <t>SKÅNE LÄN</t>
        </is>
      </c>
      <c r="G263" t="inlineStr">
        <is>
          <t>ÖRKELLJUNGA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50304-2023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45209</v>
      </c>
      <c r="E264" s="1" t="n">
        <v>46220</v>
      </c>
      <c r="F264" t="inlineStr">
        <is>
          <t>SKÅNE LÄN</t>
        </is>
      </c>
      <c r="G264" t="inlineStr">
        <is>
          <t>ÖRKELLJUNGA</t>
        </is>
      </c>
      <c r="I264" t="n">
        <v>17.9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11126-2025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45723</v>
      </c>
      <c r="E265" s="1" t="n">
        <v>46220</v>
      </c>
      <c r="F265" t="inlineStr">
        <is>
          <t>SKÅNE LÄN</t>
        </is>
      </c>
      <c r="G265" t="inlineStr">
        <is>
          <t>ÖRKELLJUNGA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37620-2023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45159</v>
      </c>
      <c r="E266" s="1" t="n">
        <v>46220</v>
      </c>
      <c r="F266" t="inlineStr">
        <is>
          <t>SKÅNE LÄN</t>
        </is>
      </c>
      <c r="G266" t="inlineStr">
        <is>
          <t>ÖRKELLJUNGA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9695-2023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44984</v>
      </c>
      <c r="E267" s="1" t="n">
        <v>46220</v>
      </c>
      <c r="F267" t="inlineStr">
        <is>
          <t>SKÅNE LÄN</t>
        </is>
      </c>
      <c r="G267" t="inlineStr">
        <is>
          <t>ÖRKELLJUNGA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2399-2025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45672</v>
      </c>
      <c r="E268" s="1" t="n">
        <v>46220</v>
      </c>
      <c r="F268" t="inlineStr">
        <is>
          <t>SKÅNE LÄN</t>
        </is>
      </c>
      <c r="G268" t="inlineStr">
        <is>
          <t>ÖRKELLJUNGA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22699-2024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45448</v>
      </c>
      <c r="E269" s="1" t="n">
        <v>46220</v>
      </c>
      <c r="F269" t="inlineStr">
        <is>
          <t>SKÅNE LÄN</t>
        </is>
      </c>
      <c r="G269" t="inlineStr">
        <is>
          <t>ÖRKELLJUNGA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28980-2026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46199</v>
      </c>
      <c r="E270" s="1" t="n">
        <v>46220</v>
      </c>
      <c r="F270" t="inlineStr">
        <is>
          <t>SKÅNE LÄN</t>
        </is>
      </c>
      <c r="G270" t="inlineStr">
        <is>
          <t>ÖRKELLJUNGA</t>
        </is>
      </c>
      <c r="I270" t="n">
        <v>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25501-2026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46177</v>
      </c>
      <c r="E271" s="1" t="n">
        <v>46220</v>
      </c>
      <c r="F271" t="inlineStr">
        <is>
          <t>SKÅNE LÄN</t>
        </is>
      </c>
      <c r="G271" t="inlineStr">
        <is>
          <t>ÖRKELLJUNGA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20492-2024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45435</v>
      </c>
      <c r="E272" s="1" t="n">
        <v>46220</v>
      </c>
      <c r="F272" t="inlineStr">
        <is>
          <t>SKÅNE LÄN</t>
        </is>
      </c>
      <c r="G272" t="inlineStr">
        <is>
          <t>ÖRKELLJUNGA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49362-2024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45595</v>
      </c>
      <c r="E273" s="1" t="n">
        <v>46220</v>
      </c>
      <c r="F273" t="inlineStr">
        <is>
          <t>SKÅNE LÄN</t>
        </is>
      </c>
      <c r="G273" t="inlineStr">
        <is>
          <t>ÖRKELLJUNGA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168-2025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45659</v>
      </c>
      <c r="E274" s="1" t="n">
        <v>46220</v>
      </c>
      <c r="F274" t="inlineStr">
        <is>
          <t>SKÅNE LÄN</t>
        </is>
      </c>
      <c r="G274" t="inlineStr">
        <is>
          <t>ÖRKELLJUNGA</t>
        </is>
      </c>
      <c r="I274" t="n">
        <v>6.9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25958-2023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45090</v>
      </c>
      <c r="E275" s="1" t="n">
        <v>46220</v>
      </c>
      <c r="F275" t="inlineStr">
        <is>
          <t>SKÅNE LÄN</t>
        </is>
      </c>
      <c r="G275" t="inlineStr">
        <is>
          <t>ÖRKELLJUNGA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27486-2024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45474</v>
      </c>
      <c r="E276" s="1" t="n">
        <v>46220</v>
      </c>
      <c r="F276" t="inlineStr">
        <is>
          <t>SKÅNE LÄN</t>
        </is>
      </c>
      <c r="G276" t="inlineStr">
        <is>
          <t>ÖRKELLJUNGA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22391-2024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45446</v>
      </c>
      <c r="E277" s="1" t="n">
        <v>46220</v>
      </c>
      <c r="F277" t="inlineStr">
        <is>
          <t>SKÅNE LÄN</t>
        </is>
      </c>
      <c r="G277" t="inlineStr">
        <is>
          <t>ÖRKELLJUNGA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11460-2025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45726</v>
      </c>
      <c r="E278" s="1" t="n">
        <v>46220</v>
      </c>
      <c r="F278" t="inlineStr">
        <is>
          <t>SKÅNE LÄN</t>
        </is>
      </c>
      <c r="G278" t="inlineStr">
        <is>
          <t>ÖRKELLJUNGA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17458-2023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45034</v>
      </c>
      <c r="E279" s="1" t="n">
        <v>46220</v>
      </c>
      <c r="F279" t="inlineStr">
        <is>
          <t>SKÅNE LÄN</t>
        </is>
      </c>
      <c r="G279" t="inlineStr">
        <is>
          <t>ÖRKELLJUNGA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54669-2023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45235</v>
      </c>
      <c r="E280" s="1" t="n">
        <v>46220</v>
      </c>
      <c r="F280" t="inlineStr">
        <is>
          <t>SKÅNE LÄN</t>
        </is>
      </c>
      <c r="G280" t="inlineStr">
        <is>
          <t>ÖRKELLJUNGA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23469-2025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45792</v>
      </c>
      <c r="E281" s="1" t="n">
        <v>46220</v>
      </c>
      <c r="F281" t="inlineStr">
        <is>
          <t>SKÅNE LÄN</t>
        </is>
      </c>
      <c r="G281" t="inlineStr">
        <is>
          <t>ÖRKELLJUNGA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S 1016-2020</t>
        </is>
      </c>
      <c r="B282" t="inlineStr">
        <is>
          <t>samrådsanmälan</t>
        </is>
      </c>
      <c r="C282" t="inlineStr">
        <is>
          <t>Åtgärd i nyckelbiotop</t>
        </is>
      </c>
      <c r="D282" s="1" t="n">
        <v>43957</v>
      </c>
      <c r="E282" s="1" t="n">
        <v>46220</v>
      </c>
      <c r="F282" t="inlineStr">
        <is>
          <t>SKÅNE LÄN</t>
        </is>
      </c>
      <c r="G282" t="inlineStr">
        <is>
          <t>ÖRKELLJUNGA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S 2857-2024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45496</v>
      </c>
      <c r="E283" s="1" t="n">
        <v>46220</v>
      </c>
      <c r="F283" t="inlineStr">
        <is>
          <t>SKÅNE LÄN</t>
        </is>
      </c>
      <c r="G283" t="inlineStr">
        <is>
          <t>ÖRKELLJUNGA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S 9957-2021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44536</v>
      </c>
      <c r="E284" s="1" t="n">
        <v>46220</v>
      </c>
      <c r="F284" t="inlineStr">
        <is>
          <t>SKÅNE LÄN</t>
        </is>
      </c>
      <c r="G284" t="inlineStr">
        <is>
          <t>ÖRKELLJUNGA</t>
        </is>
      </c>
      <c r="I284" t="n">
        <v>26.1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S 455-2023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44959</v>
      </c>
      <c r="E285" s="1" t="n">
        <v>46220</v>
      </c>
      <c r="F285" t="inlineStr">
        <is>
          <t>SKÅNE LÄN</t>
        </is>
      </c>
      <c r="G285" t="inlineStr">
        <is>
          <t>ÖRKELLJUNGA</t>
        </is>
      </c>
      <c r="I285" t="n">
        <v>14.9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S 5219-2022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44820</v>
      </c>
      <c r="E286" s="1" t="n">
        <v>46220</v>
      </c>
      <c r="F286" t="inlineStr">
        <is>
          <t>SKÅNE LÄN</t>
        </is>
      </c>
      <c r="G286" t="inlineStr">
        <is>
          <t>ÖRKELLJUNGA</t>
        </is>
      </c>
      <c r="I286" t="n">
        <v>22.7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S 2907-2024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45503</v>
      </c>
      <c r="E287" s="1" t="n">
        <v>46220</v>
      </c>
      <c r="F287" t="inlineStr">
        <is>
          <t>SKÅNE LÄN</t>
        </is>
      </c>
      <c r="G287" t="inlineStr">
        <is>
          <t>ÖRKELLJUNGA</t>
        </is>
      </c>
      <c r="I287" t="n">
        <v>72.5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S 1259-2022</t>
        </is>
      </c>
      <c r="B288" t="inlineStr">
        <is>
          <t>samrådsanmälan</t>
        </is>
      </c>
      <c r="C288" t="inlineStr">
        <is>
          <t>Skogsbilväg</t>
        </is>
      </c>
      <c r="D288" s="1" t="n">
        <v>44627</v>
      </c>
      <c r="E288" s="1" t="n">
        <v>46220</v>
      </c>
      <c r="F288" t="inlineStr">
        <is>
          <t>SKÅNE LÄN</t>
        </is>
      </c>
      <c r="G288" t="inlineStr">
        <is>
          <t>ÖRKELLJUNGA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S 4069-2022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44757</v>
      </c>
      <c r="E289" s="1" t="n">
        <v>46220</v>
      </c>
      <c r="F289" t="inlineStr">
        <is>
          <t>SKÅNE LÄN</t>
        </is>
      </c>
      <c r="G289" t="inlineStr">
        <is>
          <t>ÖRKELLJUNGA</t>
        </is>
      </c>
      <c r="I289" t="n">
        <v>24.7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S 1070-2022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44613</v>
      </c>
      <c r="E290" s="1" t="n">
        <v>46220</v>
      </c>
      <c r="F290" t="inlineStr">
        <is>
          <t>SKÅNE LÄN</t>
        </is>
      </c>
      <c r="G290" t="inlineStr">
        <is>
          <t>ÖRKELLJUNGA</t>
        </is>
      </c>
      <c r="I290" t="n">
        <v>46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S 2756-2024</t>
        </is>
      </c>
      <c r="B291" t="inlineStr">
        <is>
          <t>samrådsanmälan</t>
        </is>
      </c>
      <c r="C291" t="inlineStr">
        <is>
          <t>Dikesrensning</t>
        </is>
      </c>
      <c r="D291" s="1" t="n">
        <v>45484</v>
      </c>
      <c r="E291" s="1" t="n">
        <v>46220</v>
      </c>
      <c r="F291" t="inlineStr">
        <is>
          <t>SKÅNE LÄN</t>
        </is>
      </c>
      <c r="G291" t="inlineStr">
        <is>
          <t>ÖRKELLJUNGA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S 856-2023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44993</v>
      </c>
      <c r="E292" s="1" t="n">
        <v>46220</v>
      </c>
      <c r="F292" t="inlineStr">
        <is>
          <t>SKÅNE LÄN</t>
        </is>
      </c>
      <c r="G292" t="inlineStr">
        <is>
          <t>ÖRKELLJUNGA</t>
        </is>
      </c>
      <c r="I292" t="n">
        <v>20.8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S 2633-2023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45148</v>
      </c>
      <c r="E293" s="1" t="n">
        <v>46220</v>
      </c>
      <c r="F293" t="inlineStr">
        <is>
          <t>SKÅNE LÄN</t>
        </is>
      </c>
      <c r="G293" t="inlineStr">
        <is>
          <t>ÖRKELLJUNGA</t>
        </is>
      </c>
      <c r="I293" t="n">
        <v>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S 293-2026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46057</v>
      </c>
      <c r="E294" s="1" t="n">
        <v>46220</v>
      </c>
      <c r="F294" t="inlineStr">
        <is>
          <t>SKÅNE LÄN</t>
        </is>
      </c>
      <c r="G294" t="inlineStr">
        <is>
          <t>ÖRKELLJUNGA</t>
        </is>
      </c>
      <c r="I294" t="n">
        <v>40.7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S 718-2026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46093</v>
      </c>
      <c r="E295" s="1" t="n">
        <v>46220</v>
      </c>
      <c r="F295" t="inlineStr">
        <is>
          <t>SKÅNE LÄN</t>
        </is>
      </c>
      <c r="G295" t="inlineStr">
        <is>
          <t>ÖRKELLJUNGA</t>
        </is>
      </c>
      <c r="I295" t="n">
        <v>8.699999999999999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S 755-2026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46097</v>
      </c>
      <c r="E296" s="1" t="n">
        <v>46220</v>
      </c>
      <c r="F296" t="inlineStr">
        <is>
          <t>SKÅNE LÄN</t>
        </is>
      </c>
      <c r="G296" t="inlineStr">
        <is>
          <t>ÖRKELLJUNGA</t>
        </is>
      </c>
      <c r="I296" t="n">
        <v>14.3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S 1079-2026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46129</v>
      </c>
      <c r="E297" s="1" t="n">
        <v>46220</v>
      </c>
      <c r="F297" t="inlineStr">
        <is>
          <t>SKÅNE LÄN</t>
        </is>
      </c>
      <c r="G297" t="inlineStr">
        <is>
          <t>ÖRKELLJUNGA</t>
        </is>
      </c>
      <c r="I297" t="n">
        <v>11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S 1124-2026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46134</v>
      </c>
      <c r="E298" s="1" t="n">
        <v>46220</v>
      </c>
      <c r="F298" t="inlineStr">
        <is>
          <t>SKÅNE LÄN</t>
        </is>
      </c>
      <c r="G298" t="inlineStr">
        <is>
          <t>ÖRKELLJUNGA</t>
        </is>
      </c>
      <c r="I298" t="n">
        <v>30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>
      <c r="A299" t="inlineStr">
        <is>
          <t>S 1336-2026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46150</v>
      </c>
      <c r="E299" s="1" t="n">
        <v>46220</v>
      </c>
      <c r="F299" t="inlineStr">
        <is>
          <t>SKÅNE LÄN</t>
        </is>
      </c>
      <c r="G299" t="inlineStr">
        <is>
          <t>ÖRKELLJUNGA</t>
        </is>
      </c>
      <c r="I299" t="n">
        <v>35.2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2026-07-17T01:45:50Z</dcterms:created>
  <dcterms:modified xmlns:dcterms="http://purl.org/dc/terms/" xmlns:xsi="http://www.w3.org/2001/XMLSchema-instance" xsi:type="dcterms:W3CDTF">2026-07-17T01:45:51Z</dcterms:modified>
</cp:coreProperties>
</file>