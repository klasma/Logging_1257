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46300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46300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46300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46300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46300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46300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46300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46300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46300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46300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46300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46300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46300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46300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46300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60271-2024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45642</v>
      </c>
      <c r="E17" s="1" t="n">
        <v>46300</v>
      </c>
      <c r="F17" t="inlineStr">
        <is>
          <t>SKÅNE LÄN</t>
        </is>
      </c>
      <c r="G17" t="inlineStr">
        <is>
          <t>ÖRKELLJUNGA</t>
        </is>
      </c>
      <c r="I17" t="n">
        <v>1.8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Vanlig padda
Vanlig snok</t>
        </is>
      </c>
      <c r="W17">
        <f>HYPERLINK("https://klasma.github.io/Logging_1257/artfynd/A 60271-2024 artfynd.xlsx", "A 60271-2024")</f>
        <v/>
      </c>
      <c r="X17">
        <f>HYPERLINK("https://klasma.github.io/Logging_1257/kartor/A 60271-2024 karta.png", "A 60271-2024")</f>
        <v/>
      </c>
      <c r="Y17">
        <f>HYPERLINK("https://klasma.github.io/Logging_1257/kartor_geotiff/A 60271-2024 georefererad karta.tif", "A 60271-2024")</f>
        <v/>
      </c>
      <c r="AA17">
        <f>HYPERLINK("https://klasma.github.io/Logging_1257/klagomål/A 60271-2024 FSC-klagomål.docx", "A 60271-2024")</f>
        <v/>
      </c>
      <c r="AB17">
        <f>HYPERLINK("https://klasma.github.io/Logging_1257/klagomålsmail/A 60271-2024 FSC-klagomål mail.docx", "A 60271-2024")</f>
        <v/>
      </c>
      <c r="AC17">
        <f>HYPERLINK("https://klasma.github.io/Logging_1257/tillsyn/A 60271-2024 tillsynsbegäran.docx", "A 60271-2024")</f>
        <v/>
      </c>
      <c r="AD17">
        <f>HYPERLINK("https://klasma.github.io/Logging_1257/tillsynsmail/A 60271-2024 tillsynsbegäran mail.docx", "A 60271-2024")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46300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26585-2026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46300</v>
      </c>
      <c r="F19" t="inlineStr">
        <is>
          <t>SKÅNE LÄN</t>
        </is>
      </c>
      <c r="G19" t="inlineStr">
        <is>
          <t>ÖRKELLJUNGA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Röd glada</t>
        </is>
      </c>
      <c r="W19">
        <f>HYPERLINK("https://klasma.github.io/Logging_1257/artfynd/A 26585-2026 artfynd.xlsx", "A 26585-2026")</f>
        <v/>
      </c>
      <c r="X19">
        <f>HYPERLINK("https://klasma.github.io/Logging_1257/kartor/A 26585-2026 karta.png", "A 26585-2026")</f>
        <v/>
      </c>
      <c r="Y19">
        <f>HYPERLINK("https://klasma.github.io/Logging_1257/kartor_geotiff/A 26585-2026 georefererad karta.tif", "A 26585-2026")</f>
        <v/>
      </c>
      <c r="AA19">
        <f>HYPERLINK("https://klasma.github.io/Logging_1257/klagomål/A 26585-2026 FSC-klagomål.docx", "A 26585-2026")</f>
        <v/>
      </c>
      <c r="AB19">
        <f>HYPERLINK("https://klasma.github.io/Logging_1257/klagomålsmail/A 26585-2026 FSC-klagomål mail.docx", "A 26585-2026")</f>
        <v/>
      </c>
      <c r="AC19">
        <f>HYPERLINK("https://klasma.github.io/Logging_1257/tillsyn/A 26585-2026 tillsynsbegäran.docx", "A 26585-2026")</f>
        <v/>
      </c>
      <c r="AD19">
        <f>HYPERLINK("https://klasma.github.io/Logging_1257/tillsynsmail/A 26585-2026 tillsynsbegäran mail.docx", "A 26585-2026")</f>
        <v/>
      </c>
      <c r="AE19">
        <f>HYPERLINK("https://klasma.github.io/Logging_1257/fåglar/A 26585-2026 prioriterade fågelarter.docx", "A 26585-2026")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46300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46300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46300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46300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46300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10496-2026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46300</v>
      </c>
      <c r="F25" t="inlineStr">
        <is>
          <t>SKÅNE LÄN</t>
        </is>
      </c>
      <c r="G25" t="inlineStr">
        <is>
          <t>ÖRKELLJUNGA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Skogsödla</t>
        </is>
      </c>
      <c r="W25">
        <f>HYPERLINK("https://klasma.github.io/Logging_1257/artfynd/A 10496-2026 artfynd.xlsx", "A 10496-2026")</f>
        <v/>
      </c>
      <c r="X25">
        <f>HYPERLINK("https://klasma.github.io/Logging_1257/kartor/A 10496-2026 karta.png", "A 10496-2026")</f>
        <v/>
      </c>
      <c r="Y25">
        <f>HYPERLINK("https://klasma.github.io/Logging_1257/kartor_geotiff/A 10496-2026 georefererad karta.tif", "A 10496-2026")</f>
        <v/>
      </c>
      <c r="AA25">
        <f>HYPERLINK("https://klasma.github.io/Logging_1257/klagomål/A 10496-2026 FSC-klagomål.docx", "A 10496-2026")</f>
        <v/>
      </c>
      <c r="AB25">
        <f>HYPERLINK("https://klasma.github.io/Logging_1257/klagomålsmail/A 10496-2026 FSC-klagomål mail.docx", "A 10496-2026")</f>
        <v/>
      </c>
      <c r="AC25">
        <f>HYPERLINK("https://klasma.github.io/Logging_1257/tillsyn/A 10496-2026 tillsynsbegäran.docx", "A 10496-2026")</f>
        <v/>
      </c>
      <c r="AD25">
        <f>HYPERLINK("https://klasma.github.io/Logging_1257/tillsynsmail/A 10496-2026 tillsynsbegäran mail.docx", "A 10496-2026")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46300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15068-2023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45015</v>
      </c>
      <c r="E27" s="1" t="n">
        <v>46300</v>
      </c>
      <c r="F27" t="inlineStr">
        <is>
          <t>SKÅNE LÄN</t>
        </is>
      </c>
      <c r="G27" t="inlineStr">
        <is>
          <t>ÖRKELLJUNGA</t>
        </is>
      </c>
      <c r="I27" t="n">
        <v>9.9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HYPERLINK("https://klasma.github.io/Logging_1257/artfynd/A 15068-2023 artfynd.xlsx", "A 15068-2023")</f>
        <v/>
      </c>
      <c r="X27">
        <f>HYPERLINK("https://klasma.github.io/Logging_1257/kartor/A 15068-2023 karta.png", "A 15068-2023")</f>
        <v/>
      </c>
      <c r="Y27">
        <f>HYPERLINK("https://klasma.github.io/Logging_1257/kartor_geotiff/A 15068-2023 georefererad karta.tif", "A 15068-2023")</f>
        <v/>
      </c>
      <c r="AA27">
        <f>HYPERLINK("https://klasma.github.io/Logging_1257/klagomål/A 15068-2023 FSC-klagomål.docx", "A 15068-2023")</f>
        <v/>
      </c>
      <c r="AB27">
        <f>HYPERLINK("https://klasma.github.io/Logging_1257/klagomålsmail/A 15068-2023 FSC-klagomål mail.docx", "A 15068-2023")</f>
        <v/>
      </c>
      <c r="AC27">
        <f>HYPERLINK("https://klasma.github.io/Logging_1257/tillsyn/A 15068-2023 tillsynsbegäran.docx", "A 15068-2023")</f>
        <v/>
      </c>
      <c r="AD27">
        <f>HYPERLINK("https://klasma.github.io/Logging_1257/tillsynsmail/A 15068-2023 tillsynsbegäran mail.docx", "A 15068-2023")</f>
        <v/>
      </c>
    </row>
    <row r="28" ht="15" customHeight="1">
      <c r="A28" t="inlineStr">
        <is>
          <t>A 22410-2024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46300</v>
      </c>
      <c r="F28" t="inlineStr">
        <is>
          <t>SKÅNE LÄN</t>
        </is>
      </c>
      <c r="G28" t="inlineStr">
        <is>
          <t>ÖRKELLJUNGA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HYPERLINK("https://klasma.github.io/Logging_1257/artfynd/A 22410-2024 artfynd.xlsx", "A 22410-2024")</f>
        <v/>
      </c>
      <c r="X28">
        <f>HYPERLINK("https://klasma.github.io/Logging_1257/kartor/A 22410-2024 karta.png", "A 22410-2024")</f>
        <v/>
      </c>
      <c r="Y28">
        <f>HYPERLINK("https://klasma.github.io/Logging_1257/kartor_geotiff/A 22410-2024 georefererad karta.tif", "A 22410-2024")</f>
        <v/>
      </c>
      <c r="AA28">
        <f>HYPERLINK("https://klasma.github.io/Logging_1257/klagomål/A 22410-2024 FSC-klagomål.docx", "A 22410-2024")</f>
        <v/>
      </c>
      <c r="AB28">
        <f>HYPERLINK("https://klasma.github.io/Logging_1257/klagomålsmail/A 22410-2024 FSC-klagomål mail.docx", "A 22410-2024")</f>
        <v/>
      </c>
      <c r="AC28">
        <f>HYPERLINK("https://klasma.github.io/Logging_1257/tillsyn/A 22410-2024 tillsynsbegäran.docx", "A 22410-2024")</f>
        <v/>
      </c>
      <c r="AD28">
        <f>HYPERLINK("https://klasma.github.io/Logging_1257/tillsynsmail/A 22410-2024 tillsynsbegäran mail.docx", "A 22410-2024")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46300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2910-2024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45503</v>
      </c>
      <c r="E30" s="1" t="n">
        <v>46300</v>
      </c>
      <c r="F30" t="inlineStr">
        <is>
          <t>SKÅNE LÄN</t>
        </is>
      </c>
      <c r="G30" t="inlineStr">
        <is>
          <t>ÖRKELLJUNGA</t>
        </is>
      </c>
      <c r="I30" t="n">
        <v>0.4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HYPERLINK("https://klasma.github.io/Logging_1257/artfynd/S 2910-2024 artfynd.xlsx", "S 2910-2024")</f>
        <v/>
      </c>
      <c r="X30">
        <f>HYPERLINK("https://klasma.github.io/Logging_1257/kartor/S 2910-2024 karta.png", "S 2910-2024")</f>
        <v/>
      </c>
      <c r="Y30">
        <f>HYPERLINK("https://klasma.github.io/Logging_1257/kartor_geotiff/S 2910-2024 georefererad karta.tif", "S 2910-2024")</f>
        <v/>
      </c>
      <c r="AA30">
        <f>HYPERLINK("https://klasma.github.io/Logging_1257/klagomål/S 2910-2024 FSC-klagomål.docx", "S 2910-2024")</f>
        <v/>
      </c>
      <c r="AB30">
        <f>HYPERLINK("https://klasma.github.io/Logging_1257/klagomålsmail/S 2910-2024 FSC-klagomål mail.docx", "S 2910-2024")</f>
        <v/>
      </c>
      <c r="AC30">
        <f>HYPERLINK("https://klasma.github.io/Logging_1257/tillsyn/S 2910-2024 tillsynsbegäran.docx", "S 2910-2024")</f>
        <v/>
      </c>
      <c r="AD30">
        <f>HYPERLINK("https://klasma.github.io/Logging_1257/tillsynsmail/S 2910-2024 tillsynsbegäran mail.docx", "S 2910-2024")</f>
        <v/>
      </c>
      <c r="AE30">
        <f>HYPERLINK("https://klasma.github.io/Logging_1257/fåglar/S 2910-2024 prioriterade fågelarter.docx", "S 2910-2024")</f>
        <v/>
      </c>
    </row>
    <row r="31" ht="15" customHeight="1">
      <c r="A31" t="inlineStr">
        <is>
          <t>S 4056-2023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45243</v>
      </c>
      <c r="E31" s="1" t="n">
        <v>46300</v>
      </c>
      <c r="F31" t="inlineStr">
        <is>
          <t>SKÅNE LÄN</t>
        </is>
      </c>
      <c r="G31" t="inlineStr">
        <is>
          <t>ÖRKELLJUNGA</t>
        </is>
      </c>
      <c r="I31" t="n">
        <v>7.1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HYPERLINK("https://klasma.github.io/Logging_1257/artfynd/S 4056-2023 artfynd.xlsx", "S 4056-2023")</f>
        <v/>
      </c>
      <c r="X31">
        <f>HYPERLINK("https://klasma.github.io/Logging_1257/kartor/S 4056-2023 karta.png", "S 4056-2023")</f>
        <v/>
      </c>
      <c r="Y31">
        <f>HYPERLINK("https://klasma.github.io/Logging_1257/kartor_geotiff/S 4056-2023 georefererad karta.tif", "S 4056-2023")</f>
        <v/>
      </c>
      <c r="AA31">
        <f>HYPERLINK("https://klasma.github.io/Logging_1257/klagomål/S 4056-2023 FSC-klagomål.docx", "S 4056-2023")</f>
        <v/>
      </c>
      <c r="AB31">
        <f>HYPERLINK("https://klasma.github.io/Logging_1257/klagomålsmail/S 4056-2023 FSC-klagomål mail.docx", "S 4056-2023")</f>
        <v/>
      </c>
      <c r="AC31">
        <f>HYPERLINK("https://klasma.github.io/Logging_1257/tillsyn/S 4056-2023 tillsynsbegäran.docx", "S 4056-2023")</f>
        <v/>
      </c>
      <c r="AD31">
        <f>HYPERLINK("https://klasma.github.io/Logging_1257/tillsynsmail/S 4056-2023 tillsynsbegäran mail.docx", "S 4056-2023")</f>
        <v/>
      </c>
    </row>
    <row r="32" ht="15" customHeight="1">
      <c r="A32" t="inlineStr">
        <is>
          <t>S 2731-2022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44704</v>
      </c>
      <c r="E32" s="1" t="n">
        <v>46300</v>
      </c>
      <c r="F32" t="inlineStr">
        <is>
          <t>SKÅNE LÄN</t>
        </is>
      </c>
      <c r="G32" t="inlineStr">
        <is>
          <t>ÖRKELLJUNGA</t>
        </is>
      </c>
      <c r="H32" t="inlineStr">
        <is>
          <t>Kyrkan</t>
        </is>
      </c>
      <c r="I32" t="n">
        <v>24.7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Gröngöling</t>
        </is>
      </c>
      <c r="W32">
        <f>HYPERLINK("https://klasma.github.io/Logging_1257/artfynd/S 2731-2022 artfynd.xlsx", "S 2731-2022")</f>
        <v/>
      </c>
      <c r="X32">
        <f>HYPERLINK("https://klasma.github.io/Logging_1257/kartor/S 2731-2022 karta.png", "S 2731-2022")</f>
        <v/>
      </c>
      <c r="Y32">
        <f>HYPERLINK("https://klasma.github.io/Logging_1257/kartor_geotiff/S 2731-2022 georefererad karta.tif", "S 2731-2022")</f>
        <v/>
      </c>
      <c r="AA32">
        <f>HYPERLINK("https://klasma.github.io/Logging_1257/klagomål/S 2731-2022 FSC-klagomål.docx", "S 2731-2022")</f>
        <v/>
      </c>
      <c r="AB32">
        <f>HYPERLINK("https://klasma.github.io/Logging_1257/klagomålsmail/S 2731-2022 FSC-klagomål mail.docx", "S 2731-2022")</f>
        <v/>
      </c>
      <c r="AC32">
        <f>HYPERLINK("https://klasma.github.io/Logging_1257/tillsyn/S 2731-2022 tillsynsbegäran.docx", "S 2731-2022")</f>
        <v/>
      </c>
      <c r="AD32">
        <f>HYPERLINK("https://klasma.github.io/Logging_1257/tillsynsmail/S 2731-2022 tillsynsbegäran mail.docx", "S 2731-2022")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46300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46300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46300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46300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46300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46300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46300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46300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46300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56006-2021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46300</v>
      </c>
      <c r="F42" t="inlineStr">
        <is>
          <t>SKÅNE LÄN</t>
        </is>
      </c>
      <c r="G42" t="inlineStr">
        <is>
          <t>ÖRKELLJUNGA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46300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46300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46300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46300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46300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46300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46300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46300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46300</v>
      </c>
      <c r="F51" t="inlineStr">
        <is>
          <t>SKÅNE LÄN</t>
        </is>
      </c>
      <c r="G51" t="inlineStr">
        <is>
          <t>ÖRKELLJUNGA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44599</v>
      </c>
      <c r="E52" s="1" t="n">
        <v>46300</v>
      </c>
      <c r="F52" t="inlineStr">
        <is>
          <t>SKÅNE LÄN</t>
        </is>
      </c>
      <c r="G52" t="inlineStr">
        <is>
          <t>ÖRKELLJUNGA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19390-2023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45048</v>
      </c>
      <c r="E53" s="1" t="n">
        <v>46300</v>
      </c>
      <c r="F53" t="inlineStr">
        <is>
          <t>SKÅNE LÄN</t>
        </is>
      </c>
      <c r="G53" t="inlineStr">
        <is>
          <t>ÖRKELLJUNGA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73830-2021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44552</v>
      </c>
      <c r="E54" s="1" t="n">
        <v>46300</v>
      </c>
      <c r="F54" t="inlineStr">
        <is>
          <t>SKÅNE LÄN</t>
        </is>
      </c>
      <c r="G54" t="inlineStr">
        <is>
          <t>ÖRKELLJUNGA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46300</v>
      </c>
      <c r="F55" t="inlineStr">
        <is>
          <t>SKÅNE LÄN</t>
        </is>
      </c>
      <c r="G55" t="inlineStr">
        <is>
          <t>ÖRKELLJUNGA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45365</v>
      </c>
      <c r="E56" s="1" t="n">
        <v>46300</v>
      </c>
      <c r="F56" t="inlineStr">
        <is>
          <t>SKÅNE LÄN</t>
        </is>
      </c>
      <c r="G56" t="inlineStr">
        <is>
          <t>ÖRKELLJUNGA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9748-2024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45362</v>
      </c>
      <c r="E57" s="1" t="n">
        <v>46300</v>
      </c>
      <c r="F57" t="inlineStr">
        <is>
          <t>SKÅNE LÄN</t>
        </is>
      </c>
      <c r="G57" t="inlineStr">
        <is>
          <t>ÖRKELLJUNGA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23740-2023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45077</v>
      </c>
      <c r="E58" s="1" t="n">
        <v>46300</v>
      </c>
      <c r="F58" t="inlineStr">
        <is>
          <t>SKÅNE LÄN</t>
        </is>
      </c>
      <c r="G58" t="inlineStr">
        <is>
          <t>ÖRKELLJUNGA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45610</v>
      </c>
      <c r="E59" s="1" t="n">
        <v>46300</v>
      </c>
      <c r="F59" t="inlineStr">
        <is>
          <t>SKÅNE LÄN</t>
        </is>
      </c>
      <c r="G59" t="inlineStr">
        <is>
          <t>ÖRKELLJUNGA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27486-2024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45474</v>
      </c>
      <c r="E60" s="1" t="n">
        <v>46300</v>
      </c>
      <c r="F60" t="inlineStr">
        <is>
          <t>SKÅNE LÄN</t>
        </is>
      </c>
      <c r="G60" t="inlineStr">
        <is>
          <t>ÖRKELLJUNGA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22391-2024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46300</v>
      </c>
      <c r="F61" t="inlineStr">
        <is>
          <t>SKÅNE LÄN</t>
        </is>
      </c>
      <c r="G61" t="inlineStr">
        <is>
          <t>ÖRKELLJUNGA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72261-2021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44545</v>
      </c>
      <c r="E62" s="1" t="n">
        <v>46300</v>
      </c>
      <c r="F62" t="inlineStr">
        <is>
          <t>SKÅNE LÄN</t>
        </is>
      </c>
      <c r="G62" t="inlineStr">
        <is>
          <t>ÖRKELLJUNGA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17737-2023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46300</v>
      </c>
      <c r="F63" t="inlineStr">
        <is>
          <t>SKÅNE LÄN</t>
        </is>
      </c>
      <c r="G63" t="inlineStr">
        <is>
          <t>ÖRKELLJUNGA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9359-2025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45715</v>
      </c>
      <c r="E64" s="1" t="n">
        <v>46300</v>
      </c>
      <c r="F64" t="inlineStr">
        <is>
          <t>SKÅNE LÄN</t>
        </is>
      </c>
      <c r="G64" t="inlineStr">
        <is>
          <t>ÖRKELLJUNGA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31399-2025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45833</v>
      </c>
      <c r="E65" s="1" t="n">
        <v>46300</v>
      </c>
      <c r="F65" t="inlineStr">
        <is>
          <t>SKÅNE LÄN</t>
        </is>
      </c>
      <c r="G65" t="inlineStr">
        <is>
          <t>ÖRKELLJUNGA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44855</v>
      </c>
      <c r="E66" s="1" t="n">
        <v>46300</v>
      </c>
      <c r="F66" t="inlineStr">
        <is>
          <t>SKÅNE LÄN</t>
        </is>
      </c>
      <c r="G66" t="inlineStr">
        <is>
          <t>ÖRKELLJUNGA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11460-2025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45726</v>
      </c>
      <c r="E67" s="1" t="n">
        <v>46300</v>
      </c>
      <c r="F67" t="inlineStr">
        <is>
          <t>SKÅNE LÄN</t>
        </is>
      </c>
      <c r="G67" t="inlineStr">
        <is>
          <t>ÖRKELLJUNGA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7915-2025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45707</v>
      </c>
      <c r="E68" s="1" t="n">
        <v>46300</v>
      </c>
      <c r="F68" t="inlineStr">
        <is>
          <t>SKÅNE LÄN</t>
        </is>
      </c>
      <c r="G68" t="inlineStr">
        <is>
          <t>ÖRKELLJUNGA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45078</v>
      </c>
      <c r="E69" s="1" t="n">
        <v>46300</v>
      </c>
      <c r="F69" t="inlineStr">
        <is>
          <t>SKÅNE LÄN</t>
        </is>
      </c>
      <c r="G69" t="inlineStr">
        <is>
          <t>ÖRKELLJUNGA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45953</v>
      </c>
      <c r="E70" s="1" t="n">
        <v>46300</v>
      </c>
      <c r="F70" t="inlineStr">
        <is>
          <t>SKÅNE LÄN</t>
        </is>
      </c>
      <c r="G70" t="inlineStr">
        <is>
          <t>ÖRKELLJUNGA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53163-2025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45958</v>
      </c>
      <c r="E71" s="1" t="n">
        <v>46300</v>
      </c>
      <c r="F71" t="inlineStr">
        <is>
          <t>SKÅNE LÄN</t>
        </is>
      </c>
      <c r="G71" t="inlineStr">
        <is>
          <t>ÖRKELLJUNGA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52246-2025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45953</v>
      </c>
      <c r="E72" s="1" t="n">
        <v>46300</v>
      </c>
      <c r="F72" t="inlineStr">
        <is>
          <t>SKÅNE LÄN</t>
        </is>
      </c>
      <c r="G72" t="inlineStr">
        <is>
          <t>ÖRKELLJUNGA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17458-2023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45034</v>
      </c>
      <c r="E73" s="1" t="n">
        <v>46300</v>
      </c>
      <c r="F73" t="inlineStr">
        <is>
          <t>SKÅNE LÄN</t>
        </is>
      </c>
      <c r="G73" t="inlineStr">
        <is>
          <t>ÖRKELLJUNGA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45235</v>
      </c>
      <c r="E74" s="1" t="n">
        <v>46300</v>
      </c>
      <c r="F74" t="inlineStr">
        <is>
          <t>SKÅNE LÄN</t>
        </is>
      </c>
      <c r="G74" t="inlineStr">
        <is>
          <t>ÖRKELLJUNGA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31704-2023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45117</v>
      </c>
      <c r="E75" s="1" t="n">
        <v>46300</v>
      </c>
      <c r="F75" t="inlineStr">
        <is>
          <t>SKÅNE LÄN</t>
        </is>
      </c>
      <c r="G75" t="inlineStr">
        <is>
          <t>ÖRKELLJUNGA</t>
        </is>
      </c>
      <c r="I75" t="n">
        <v>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1225-2026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46300</v>
      </c>
      <c r="F76" t="inlineStr">
        <is>
          <t>SKÅNE LÄN</t>
        </is>
      </c>
      <c r="G76" t="inlineStr">
        <is>
          <t>ÖRKELLJUNGA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14912-2024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45398</v>
      </c>
      <c r="E77" s="1" t="n">
        <v>46300</v>
      </c>
      <c r="F77" t="inlineStr">
        <is>
          <t>SKÅNE LÄN</t>
        </is>
      </c>
      <c r="G77" t="inlineStr">
        <is>
          <t>ÖRKELLJUNGA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41912-2025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45903</v>
      </c>
      <c r="E78" s="1" t="n">
        <v>46300</v>
      </c>
      <c r="F78" t="inlineStr">
        <is>
          <t>SKÅNE LÄN</t>
        </is>
      </c>
      <c r="G78" t="inlineStr">
        <is>
          <t>ÖRKELLJUNGA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41926-2025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45903</v>
      </c>
      <c r="E79" s="1" t="n">
        <v>46300</v>
      </c>
      <c r="F79" t="inlineStr">
        <is>
          <t>SKÅNE LÄN</t>
        </is>
      </c>
      <c r="G79" t="inlineStr">
        <is>
          <t>ÖRKELLJUNGA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2537-2026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46037</v>
      </c>
      <c r="E80" s="1" t="n">
        <v>46300</v>
      </c>
      <c r="F80" t="inlineStr">
        <is>
          <t>SKÅNE LÄN</t>
        </is>
      </c>
      <c r="G80" t="inlineStr">
        <is>
          <t>ÖRKELLJUNGA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2474-2026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46037</v>
      </c>
      <c r="E81" s="1" t="n">
        <v>46300</v>
      </c>
      <c r="F81" t="inlineStr">
        <is>
          <t>SKÅNE LÄN</t>
        </is>
      </c>
      <c r="G81" t="inlineStr">
        <is>
          <t>ÖRKELLJUNGA</t>
        </is>
      </c>
      <c r="I81" t="n">
        <v>8.6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42708-2025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45908</v>
      </c>
      <c r="E82" s="1" t="n">
        <v>46300</v>
      </c>
      <c r="F82" t="inlineStr">
        <is>
          <t>SKÅNE LÄN</t>
        </is>
      </c>
      <c r="G82" t="inlineStr">
        <is>
          <t>ÖRKELLJUNGA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42728-2025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45908</v>
      </c>
      <c r="E83" s="1" t="n">
        <v>46300</v>
      </c>
      <c r="F83" t="inlineStr">
        <is>
          <t>SKÅNE LÄN</t>
        </is>
      </c>
      <c r="G83" t="inlineStr">
        <is>
          <t>ÖRKELLJUNGA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54667-2023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45235</v>
      </c>
      <c r="E84" s="1" t="n">
        <v>46300</v>
      </c>
      <c r="F84" t="inlineStr">
        <is>
          <t>SKÅNE LÄN</t>
        </is>
      </c>
      <c r="G84" t="inlineStr">
        <is>
          <t>ÖRKELLJUNGA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23469-2025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45792</v>
      </c>
      <c r="E85" s="1" t="n">
        <v>46300</v>
      </c>
      <c r="F85" t="inlineStr">
        <is>
          <t>SKÅNE LÄN</t>
        </is>
      </c>
      <c r="G85" t="inlineStr">
        <is>
          <t>ÖRKELLJUNGA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13797-2025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45737</v>
      </c>
      <c r="E86" s="1" t="n">
        <v>46300</v>
      </c>
      <c r="F86" t="inlineStr">
        <is>
          <t>SKÅNE LÄN</t>
        </is>
      </c>
      <c r="G86" t="inlineStr">
        <is>
          <t>ÖRKELLJUNGA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3934-2026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46043</v>
      </c>
      <c r="E87" s="1" t="n">
        <v>46300</v>
      </c>
      <c r="F87" t="inlineStr">
        <is>
          <t>SKÅNE LÄN</t>
        </is>
      </c>
      <c r="G87" t="inlineStr">
        <is>
          <t>ÖRKELLJUNGA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43990-2025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45915</v>
      </c>
      <c r="E88" s="1" t="n">
        <v>46300</v>
      </c>
      <c r="F88" t="inlineStr">
        <is>
          <t>SKÅNE LÄN</t>
        </is>
      </c>
      <c r="G88" t="inlineStr">
        <is>
          <t>ÖRKELLJUNGA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4989-2026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46049</v>
      </c>
      <c r="E89" s="1" t="n">
        <v>46300</v>
      </c>
      <c r="F89" t="inlineStr">
        <is>
          <t>SKÅNE LÄN</t>
        </is>
      </c>
      <c r="G89" t="inlineStr">
        <is>
          <t>ÖRKELLJUNGA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46049</v>
      </c>
      <c r="E90" s="1" t="n">
        <v>46300</v>
      </c>
      <c r="F90" t="inlineStr">
        <is>
          <t>SKÅNE LÄN</t>
        </is>
      </c>
      <c r="G90" t="inlineStr">
        <is>
          <t>ÖRKELLJUNGA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25589-2025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45803</v>
      </c>
      <c r="E91" s="1" t="n">
        <v>46300</v>
      </c>
      <c r="F91" t="inlineStr">
        <is>
          <t>SKÅNE LÄN</t>
        </is>
      </c>
      <c r="G91" t="inlineStr">
        <is>
          <t>ÖRKELLJUNGA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44897-2025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46300</v>
      </c>
      <c r="F92" t="inlineStr">
        <is>
          <t>SKÅNE LÄN</t>
        </is>
      </c>
      <c r="G92" t="inlineStr">
        <is>
          <t>ÖRKELLJUNGA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26032-2025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45804</v>
      </c>
      <c r="E93" s="1" t="n">
        <v>46300</v>
      </c>
      <c r="F93" t="inlineStr">
        <is>
          <t>SKÅNE LÄN</t>
        </is>
      </c>
      <c r="G93" t="inlineStr">
        <is>
          <t>ÖRKELLJUNGA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45918</v>
      </c>
      <c r="E94" s="1" t="n">
        <v>46300</v>
      </c>
      <c r="F94" t="inlineStr">
        <is>
          <t>SKÅNE LÄN</t>
        </is>
      </c>
      <c r="G94" t="inlineStr">
        <is>
          <t>ÖRKELLJUNGA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45804</v>
      </c>
      <c r="E95" s="1" t="n">
        <v>46300</v>
      </c>
      <c r="F95" t="inlineStr">
        <is>
          <t>SKÅNE LÄN</t>
        </is>
      </c>
      <c r="G95" t="inlineStr">
        <is>
          <t>ÖRKELLJUNGA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25963-2023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45090</v>
      </c>
      <c r="E96" s="1" t="n">
        <v>46300</v>
      </c>
      <c r="F96" t="inlineStr">
        <is>
          <t>SKÅNE LÄN</t>
        </is>
      </c>
      <c r="G96" t="inlineStr">
        <is>
          <t>ÖRKELLJUNGA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40814-2023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45171</v>
      </c>
      <c r="E97" s="1" t="n">
        <v>46300</v>
      </c>
      <c r="F97" t="inlineStr">
        <is>
          <t>SKÅNE LÄN</t>
        </is>
      </c>
      <c r="G97" t="inlineStr">
        <is>
          <t>ÖRKELLJUNGA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32855-2023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45124</v>
      </c>
      <c r="E98" s="1" t="n">
        <v>46300</v>
      </c>
      <c r="F98" t="inlineStr">
        <is>
          <t>SKÅNE LÄN</t>
        </is>
      </c>
      <c r="G98" t="inlineStr">
        <is>
          <t>ÖRKELLJUNGA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1492-2024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45305</v>
      </c>
      <c r="E99" s="1" t="n">
        <v>46300</v>
      </c>
      <c r="F99" t="inlineStr">
        <is>
          <t>SKÅNE LÄN</t>
        </is>
      </c>
      <c r="G99" t="inlineStr">
        <is>
          <t>ÖRKELLJUNGA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1493-2024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45305</v>
      </c>
      <c r="E100" s="1" t="n">
        <v>46300</v>
      </c>
      <c r="F100" t="inlineStr">
        <is>
          <t>SKÅNE LÄN</t>
        </is>
      </c>
      <c r="G100" t="inlineStr">
        <is>
          <t>ÖRKELLJUNGA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21910-2024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45443</v>
      </c>
      <c r="E101" s="1" t="n">
        <v>46300</v>
      </c>
      <c r="F101" t="inlineStr">
        <is>
          <t>SKÅNE LÄN</t>
        </is>
      </c>
      <c r="G101" t="inlineStr">
        <is>
          <t>ÖRKELLJUNGA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57703-2022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44897</v>
      </c>
      <c r="E102" s="1" t="n">
        <v>46300</v>
      </c>
      <c r="F102" t="inlineStr">
        <is>
          <t>SKÅNE LÄN</t>
        </is>
      </c>
      <c r="G102" t="inlineStr">
        <is>
          <t>ÖRKELLJUNGA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7242-2026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46058</v>
      </c>
      <c r="E103" s="1" t="n">
        <v>46300</v>
      </c>
      <c r="F103" t="inlineStr">
        <is>
          <t>SKÅNE LÄN</t>
        </is>
      </c>
      <c r="G103" t="inlineStr">
        <is>
          <t>ÖRKELLJUNGA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26058-2024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45468</v>
      </c>
      <c r="E104" s="1" t="n">
        <v>46300</v>
      </c>
      <c r="F104" t="inlineStr">
        <is>
          <t>SKÅNE LÄN</t>
        </is>
      </c>
      <c r="G104" t="inlineStr">
        <is>
          <t>ÖRKELLJUNGA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63783-2023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45278</v>
      </c>
      <c r="E105" s="1" t="n">
        <v>46300</v>
      </c>
      <c r="F105" t="inlineStr">
        <is>
          <t>SKÅNE LÄN</t>
        </is>
      </c>
      <c r="G105" t="inlineStr">
        <is>
          <t>ÖRKELLJUNGA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8024-2026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46063</v>
      </c>
      <c r="E106" s="1" t="n">
        <v>46300</v>
      </c>
      <c r="F106" t="inlineStr">
        <is>
          <t>SKÅNE LÄN</t>
        </is>
      </c>
      <c r="G106" t="inlineStr">
        <is>
          <t>ÖRKELLJUNGA</t>
        </is>
      </c>
      <c r="H106" t="inlineStr">
        <is>
          <t>Kommuner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9105-2026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46069</v>
      </c>
      <c r="E107" s="1" t="n">
        <v>46300</v>
      </c>
      <c r="F107" t="inlineStr">
        <is>
          <t>SKÅNE LÄN</t>
        </is>
      </c>
      <c r="G107" t="inlineStr">
        <is>
          <t>ÖRKELLJUNGA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1397-2023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44936</v>
      </c>
      <c r="E108" s="1" t="n">
        <v>46300</v>
      </c>
      <c r="F108" t="inlineStr">
        <is>
          <t>SKÅNE LÄN</t>
        </is>
      </c>
      <c r="G108" t="inlineStr">
        <is>
          <t>ÖRKELLJUNGA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48672-2025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45936</v>
      </c>
      <c r="E109" s="1" t="n">
        <v>46300</v>
      </c>
      <c r="F109" t="inlineStr">
        <is>
          <t>SKÅNE LÄN</t>
        </is>
      </c>
      <c r="G109" t="inlineStr">
        <is>
          <t>ÖRKELLJUNGA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9127-2026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46069</v>
      </c>
      <c r="E110" s="1" t="n">
        <v>46300</v>
      </c>
      <c r="F110" t="inlineStr">
        <is>
          <t>SKÅNE LÄN</t>
        </is>
      </c>
      <c r="G110" t="inlineStr">
        <is>
          <t>ÖRKELLJUNGA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9125-2026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46069</v>
      </c>
      <c r="E111" s="1" t="n">
        <v>46300</v>
      </c>
      <c r="F111" t="inlineStr">
        <is>
          <t>SKÅNE LÄN</t>
        </is>
      </c>
      <c r="G111" t="inlineStr">
        <is>
          <t>ÖRKELLJUNGA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9292-2026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46070</v>
      </c>
      <c r="E112" s="1" t="n">
        <v>46300</v>
      </c>
      <c r="F112" t="inlineStr">
        <is>
          <t>SKÅNE LÄN</t>
        </is>
      </c>
      <c r="G112" t="inlineStr">
        <is>
          <t>ÖRKELLJUNGA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36543-2022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44804</v>
      </c>
      <c r="E113" s="1" t="n">
        <v>46300</v>
      </c>
      <c r="F113" t="inlineStr">
        <is>
          <t>SKÅNE LÄN</t>
        </is>
      </c>
      <c r="G113" t="inlineStr">
        <is>
          <t>ÖRKELLJUNGA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13068-2023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45002</v>
      </c>
      <c r="E114" s="1" t="n">
        <v>46300</v>
      </c>
      <c r="F114" t="inlineStr">
        <is>
          <t>SKÅNE LÄN</t>
        </is>
      </c>
      <c r="G114" t="inlineStr">
        <is>
          <t>ÖRKELLJUNGA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45695</v>
      </c>
      <c r="E115" s="1" t="n">
        <v>46300</v>
      </c>
      <c r="F115" t="inlineStr">
        <is>
          <t>SKÅNE LÄN</t>
        </is>
      </c>
      <c r="G115" t="inlineStr">
        <is>
          <t>ÖRKELLJUNGA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19643-2024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45432</v>
      </c>
      <c r="E116" s="1" t="n">
        <v>46300</v>
      </c>
      <c r="F116" t="inlineStr">
        <is>
          <t>SKÅNE LÄN</t>
        </is>
      </c>
      <c r="G116" t="inlineStr">
        <is>
          <t>ÖRKELLJUNGA</t>
        </is>
      </c>
      <c r="H116" t="inlineStr">
        <is>
          <t>Kommuner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44925-2025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46300</v>
      </c>
      <c r="F117" t="inlineStr">
        <is>
          <t>SKÅNE LÄN</t>
        </is>
      </c>
      <c r="G117" t="inlineStr">
        <is>
          <t>ÖRKELLJUNGA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10473-2026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46077</v>
      </c>
      <c r="E118" s="1" t="n">
        <v>46300</v>
      </c>
      <c r="F118" t="inlineStr">
        <is>
          <t>SKÅNE LÄN</t>
        </is>
      </c>
      <c r="G118" t="inlineStr">
        <is>
          <t>ÖRKELLJUNGA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10466-2026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46077</v>
      </c>
      <c r="E119" s="1" t="n">
        <v>46300</v>
      </c>
      <c r="F119" t="inlineStr">
        <is>
          <t>SKÅNE LÄN</t>
        </is>
      </c>
      <c r="G119" t="inlineStr">
        <is>
          <t>ÖRKELLJUNGA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23692-2023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45077</v>
      </c>
      <c r="E120" s="1" t="n">
        <v>46300</v>
      </c>
      <c r="F120" t="inlineStr">
        <is>
          <t>SKÅNE LÄN</t>
        </is>
      </c>
      <c r="G120" t="inlineStr">
        <is>
          <t>ÖRKELLJUNGA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10480-2026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46077</v>
      </c>
      <c r="E121" s="1" t="n">
        <v>46300</v>
      </c>
      <c r="F121" t="inlineStr">
        <is>
          <t>SKÅNE LÄN</t>
        </is>
      </c>
      <c r="G121" t="inlineStr">
        <is>
          <t>ÖRKELLJUNGA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36280-2025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45867</v>
      </c>
      <c r="E122" s="1" t="n">
        <v>46300</v>
      </c>
      <c r="F122" t="inlineStr">
        <is>
          <t>SKÅNE LÄN</t>
        </is>
      </c>
      <c r="G122" t="inlineStr">
        <is>
          <t>ÖRKELLJUNGA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37501-2024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45541</v>
      </c>
      <c r="E123" s="1" t="n">
        <v>46300</v>
      </c>
      <c r="F123" t="inlineStr">
        <is>
          <t>SKÅNE LÄN</t>
        </is>
      </c>
      <c r="G123" t="inlineStr">
        <is>
          <t>ÖRKELLJUNGA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44880-2022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44841</v>
      </c>
      <c r="E124" s="1" t="n">
        <v>46300</v>
      </c>
      <c r="F124" t="inlineStr">
        <is>
          <t>SKÅNE LÄN</t>
        </is>
      </c>
      <c r="G124" t="inlineStr">
        <is>
          <t>ÖRKELLJUNGA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45659</v>
      </c>
      <c r="E125" s="1" t="n">
        <v>46300</v>
      </c>
      <c r="F125" t="inlineStr">
        <is>
          <t>SKÅNE LÄN</t>
        </is>
      </c>
      <c r="G125" t="inlineStr">
        <is>
          <t>ÖRKELLJUNGA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27523-2025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45813</v>
      </c>
      <c r="E126" s="1" t="n">
        <v>46300</v>
      </c>
      <c r="F126" t="inlineStr">
        <is>
          <t>SKÅNE LÄN</t>
        </is>
      </c>
      <c r="G126" t="inlineStr">
        <is>
          <t>ÖRKELLJUNGA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53142-2025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46300</v>
      </c>
      <c r="F127" t="inlineStr">
        <is>
          <t>SKÅNE LÄN</t>
        </is>
      </c>
      <c r="G127" t="inlineStr">
        <is>
          <t>ÖRKELLJUNGA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44984</v>
      </c>
      <c r="E128" s="1" t="n">
        <v>46300</v>
      </c>
      <c r="F128" t="inlineStr">
        <is>
          <t>SKÅNE LÄN</t>
        </is>
      </c>
      <c r="G128" t="inlineStr">
        <is>
          <t>ÖRKELLJUNGA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45035</v>
      </c>
      <c r="E129" s="1" t="n">
        <v>46300</v>
      </c>
      <c r="F129" t="inlineStr">
        <is>
          <t>SKÅNE LÄN</t>
        </is>
      </c>
      <c r="G129" t="inlineStr">
        <is>
          <t>ÖRKELLJUNGA</t>
        </is>
      </c>
      <c r="I129" t="n">
        <v>7.3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13283-2026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46093</v>
      </c>
      <c r="E130" s="1" t="n">
        <v>46300</v>
      </c>
      <c r="F130" t="inlineStr">
        <is>
          <t>SKÅNE LÄN</t>
        </is>
      </c>
      <c r="G130" t="inlineStr">
        <is>
          <t>ÖRKELLJUNGA</t>
        </is>
      </c>
      <c r="I130" t="n">
        <v>8.1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45747</v>
      </c>
      <c r="E131" s="1" t="n">
        <v>46300</v>
      </c>
      <c r="F131" t="inlineStr">
        <is>
          <t>SKÅNE LÄN</t>
        </is>
      </c>
      <c r="G131" t="inlineStr">
        <is>
          <t>ÖRKELLJUNGA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39650-2023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45167</v>
      </c>
      <c r="E132" s="1" t="n">
        <v>46300</v>
      </c>
      <c r="F132" t="inlineStr">
        <is>
          <t>SKÅNE LÄN</t>
        </is>
      </c>
      <c r="G132" t="inlineStr">
        <is>
          <t>ÖRKELLJUNGA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24154-2023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45079</v>
      </c>
      <c r="E133" s="1" t="n">
        <v>46300</v>
      </c>
      <c r="F133" t="inlineStr">
        <is>
          <t>SKÅNE LÄN</t>
        </is>
      </c>
      <c r="G133" t="inlineStr">
        <is>
          <t>ÖRKELLJUNGA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65211-2021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44515</v>
      </c>
      <c r="E134" s="1" t="n">
        <v>46300</v>
      </c>
      <c r="F134" t="inlineStr">
        <is>
          <t>SKÅNE LÄN</t>
        </is>
      </c>
      <c r="G134" t="inlineStr">
        <is>
          <t>ÖRKELLJUNGA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14734-2026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46101</v>
      </c>
      <c r="E135" s="1" t="n">
        <v>46300</v>
      </c>
      <c r="F135" t="inlineStr">
        <is>
          <t>SKÅNE LÄN</t>
        </is>
      </c>
      <c r="G135" t="inlineStr">
        <is>
          <t>ÖRKELLJUNGA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56455-2025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45975</v>
      </c>
      <c r="E136" s="1" t="n">
        <v>46300</v>
      </c>
      <c r="F136" t="inlineStr">
        <is>
          <t>SKÅNE LÄN</t>
        </is>
      </c>
      <c r="G136" t="inlineStr">
        <is>
          <t>ÖRKELLJUNGA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24765-2023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45084</v>
      </c>
      <c r="E137" s="1" t="n">
        <v>46300</v>
      </c>
      <c r="F137" t="inlineStr">
        <is>
          <t>SKÅNE LÄN</t>
        </is>
      </c>
      <c r="G137" t="inlineStr">
        <is>
          <t>ÖRKELLJUNGA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21146-2022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44704</v>
      </c>
      <c r="E138" s="1" t="n">
        <v>46300</v>
      </c>
      <c r="F138" t="inlineStr">
        <is>
          <t>SKÅNE LÄN</t>
        </is>
      </c>
      <c r="G138" t="inlineStr">
        <is>
          <t>ÖRKELLJUNGA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15240-2026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46105</v>
      </c>
      <c r="E139" s="1" t="n">
        <v>46300</v>
      </c>
      <c r="F139" t="inlineStr">
        <is>
          <t>SKÅNE LÄN</t>
        </is>
      </c>
      <c r="G139" t="inlineStr">
        <is>
          <t>ÖRKELLJUNGA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15236-2026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46105</v>
      </c>
      <c r="E140" s="1" t="n">
        <v>46300</v>
      </c>
      <c r="F140" t="inlineStr">
        <is>
          <t>SKÅNE LÄN</t>
        </is>
      </c>
      <c r="G140" t="inlineStr">
        <is>
          <t>ÖRKELLJUNGA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15108-2026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46105</v>
      </c>
      <c r="E141" s="1" t="n">
        <v>46300</v>
      </c>
      <c r="F141" t="inlineStr">
        <is>
          <t>SKÅNE LÄN</t>
        </is>
      </c>
      <c r="G141" t="inlineStr">
        <is>
          <t>ÖRKELLJUNGA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57343-2025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45980</v>
      </c>
      <c r="E142" s="1" t="n">
        <v>46300</v>
      </c>
      <c r="F142" t="inlineStr">
        <is>
          <t>SKÅNE LÄN</t>
        </is>
      </c>
      <c r="G142" t="inlineStr">
        <is>
          <t>ÖRKELLJUNGA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57790-2025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45981</v>
      </c>
      <c r="E143" s="1" t="n">
        <v>46300</v>
      </c>
      <c r="F143" t="inlineStr">
        <is>
          <t>SKÅNE LÄN</t>
        </is>
      </c>
      <c r="G143" t="inlineStr">
        <is>
          <t>ÖRKELLJUNGA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16363-2026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46300</v>
      </c>
      <c r="F144" t="inlineStr">
        <is>
          <t>SKÅNE LÄN</t>
        </is>
      </c>
      <c r="G144" t="inlineStr">
        <is>
          <t>ÖRKELLJUNGA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16283-2026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46111</v>
      </c>
      <c r="E145" s="1" t="n">
        <v>46300</v>
      </c>
      <c r="F145" t="inlineStr">
        <is>
          <t>SKÅNE LÄN</t>
        </is>
      </c>
      <c r="G145" t="inlineStr">
        <is>
          <t>ÖRKELLJUNGA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58347-2025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45985</v>
      </c>
      <c r="E146" s="1" t="n">
        <v>46300</v>
      </c>
      <c r="F146" t="inlineStr">
        <is>
          <t>SKÅNE LÄN</t>
        </is>
      </c>
      <c r="G146" t="inlineStr">
        <is>
          <t>ÖRKELLJUNGA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28693-2025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45819</v>
      </c>
      <c r="E147" s="1" t="n">
        <v>46300</v>
      </c>
      <c r="F147" t="inlineStr">
        <is>
          <t>SKÅNE LÄN</t>
        </is>
      </c>
      <c r="G147" t="inlineStr">
        <is>
          <t>ÖRKELLJUNGA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29642-2025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45825</v>
      </c>
      <c r="E148" s="1" t="n">
        <v>46300</v>
      </c>
      <c r="F148" t="inlineStr">
        <is>
          <t>SKÅNE LÄN</t>
        </is>
      </c>
      <c r="G148" t="inlineStr">
        <is>
          <t>ÖRKELLJUNGA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17608-2026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46121</v>
      </c>
      <c r="E149" s="1" t="n">
        <v>46300</v>
      </c>
      <c r="F149" t="inlineStr">
        <is>
          <t>SKÅNE LÄN</t>
        </is>
      </c>
      <c r="G149" t="inlineStr">
        <is>
          <t>ÖRKELLJUNGA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60789-2025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45999</v>
      </c>
      <c r="E150" s="1" t="n">
        <v>46300</v>
      </c>
      <c r="F150" t="inlineStr">
        <is>
          <t>SKÅNE LÄN</t>
        </is>
      </c>
      <c r="G150" t="inlineStr">
        <is>
          <t>ÖRKELLJUNGA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42177-2023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45178</v>
      </c>
      <c r="E151" s="1" t="n">
        <v>46300</v>
      </c>
      <c r="F151" t="inlineStr">
        <is>
          <t>SKÅNE LÄN</t>
        </is>
      </c>
      <c r="G151" t="inlineStr">
        <is>
          <t>ÖRKELLJUNGA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28221-2023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45099</v>
      </c>
      <c r="E152" s="1" t="n">
        <v>46300</v>
      </c>
      <c r="F152" t="inlineStr">
        <is>
          <t>SKÅNE LÄN</t>
        </is>
      </c>
      <c r="G152" t="inlineStr">
        <is>
          <t>ÖRKELLJUNGA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44994</v>
      </c>
      <c r="E153" s="1" t="n">
        <v>46300</v>
      </c>
      <c r="F153" t="inlineStr">
        <is>
          <t>SKÅNE LÄN</t>
        </is>
      </c>
      <c r="G153" t="inlineStr">
        <is>
          <t>ÖRKELLJUNGA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23693-2023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45077</v>
      </c>
      <c r="E154" s="1" t="n">
        <v>46300</v>
      </c>
      <c r="F154" t="inlineStr">
        <is>
          <t>SKÅNE LÄN</t>
        </is>
      </c>
      <c r="G154" t="inlineStr">
        <is>
          <t>ÖRKELLJUNGA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45728</v>
      </c>
      <c r="E155" s="1" t="n">
        <v>46300</v>
      </c>
      <c r="F155" t="inlineStr">
        <is>
          <t>SKÅNE LÄN</t>
        </is>
      </c>
      <c r="G155" t="inlineStr">
        <is>
          <t>ÖRKELLJUNGA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45192-2022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44844</v>
      </c>
      <c r="E156" s="1" t="n">
        <v>46300</v>
      </c>
      <c r="F156" t="inlineStr">
        <is>
          <t>SKÅNE LÄN</t>
        </is>
      </c>
      <c r="G156" t="inlineStr">
        <is>
          <t>ÖRKELLJUNGA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35490-2025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45855</v>
      </c>
      <c r="E157" s="1" t="n">
        <v>46300</v>
      </c>
      <c r="F157" t="inlineStr">
        <is>
          <t>SKÅNE LÄN</t>
        </is>
      </c>
      <c r="G157" t="inlineStr">
        <is>
          <t>ÖRKELLJUNGA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17270-2025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45756</v>
      </c>
      <c r="E158" s="1" t="n">
        <v>46300</v>
      </c>
      <c r="F158" t="inlineStr">
        <is>
          <t>SKÅNE LÄN</t>
        </is>
      </c>
      <c r="G158" t="inlineStr">
        <is>
          <t>ÖRKELLJUNGA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32704-2025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45839</v>
      </c>
      <c r="E159" s="1" t="n">
        <v>46300</v>
      </c>
      <c r="F159" t="inlineStr">
        <is>
          <t>SKÅNE LÄN</t>
        </is>
      </c>
      <c r="G159" t="inlineStr">
        <is>
          <t>ÖRKELLJUNGA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13611-2025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45736</v>
      </c>
      <c r="E160" s="1" t="n">
        <v>46300</v>
      </c>
      <c r="F160" t="inlineStr">
        <is>
          <t>SKÅNE LÄN</t>
        </is>
      </c>
      <c r="G160" t="inlineStr">
        <is>
          <t>ÖRKELLJUNGA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9573-2025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45715</v>
      </c>
      <c r="E161" s="1" t="n">
        <v>46300</v>
      </c>
      <c r="F161" t="inlineStr">
        <is>
          <t>SKÅNE LÄN</t>
        </is>
      </c>
      <c r="G161" t="inlineStr">
        <is>
          <t>ÖRKELLJUNGA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44935</v>
      </c>
      <c r="E162" s="1" t="n">
        <v>46300</v>
      </c>
      <c r="F162" t="inlineStr">
        <is>
          <t>SKÅNE LÄN</t>
        </is>
      </c>
      <c r="G162" t="inlineStr">
        <is>
          <t>ÖRKELLJUNGA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44864-2025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45918</v>
      </c>
      <c r="E163" s="1" t="n">
        <v>46300</v>
      </c>
      <c r="F163" t="inlineStr">
        <is>
          <t>SKÅNE LÄN</t>
        </is>
      </c>
      <c r="G163" t="inlineStr">
        <is>
          <t>ÖRKELLJUNGA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43992-2025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45915</v>
      </c>
      <c r="E164" s="1" t="n">
        <v>46300</v>
      </c>
      <c r="F164" t="inlineStr">
        <is>
          <t>SKÅNE LÄN</t>
        </is>
      </c>
      <c r="G164" t="inlineStr">
        <is>
          <t>ÖRKELLJUNGA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18285-2025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45762</v>
      </c>
      <c r="E165" s="1" t="n">
        <v>46300</v>
      </c>
      <c r="F165" t="inlineStr">
        <is>
          <t>SKÅNE LÄN</t>
        </is>
      </c>
      <c r="G165" t="inlineStr">
        <is>
          <t>ÖRKELLJUNGA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22975-2023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45072</v>
      </c>
      <c r="E166" s="1" t="n">
        <v>46300</v>
      </c>
      <c r="F166" t="inlineStr">
        <is>
          <t>SKÅNE LÄN</t>
        </is>
      </c>
      <c r="G166" t="inlineStr">
        <is>
          <t>ÖRKELLJUNGA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3205-2025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45679</v>
      </c>
      <c r="E167" s="1" t="n">
        <v>46300</v>
      </c>
      <c r="F167" t="inlineStr">
        <is>
          <t>SKÅNE LÄN</t>
        </is>
      </c>
      <c r="G167" t="inlineStr">
        <is>
          <t>ÖRKELLJUNGA</t>
        </is>
      </c>
      <c r="H167" t="inlineStr">
        <is>
          <t>Kyrkan</t>
        </is>
      </c>
      <c r="I167" t="n">
        <v>6.7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14430-2023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45012</v>
      </c>
      <c r="E168" s="1" t="n">
        <v>46300</v>
      </c>
      <c r="F168" t="inlineStr">
        <is>
          <t>SKÅNE LÄN</t>
        </is>
      </c>
      <c r="G168" t="inlineStr">
        <is>
          <t>ÖRKELLJUNGA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64091-2023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45279</v>
      </c>
      <c r="E169" s="1" t="n">
        <v>46300</v>
      </c>
      <c r="F169" t="inlineStr">
        <is>
          <t>SKÅNE LÄN</t>
        </is>
      </c>
      <c r="G169" t="inlineStr">
        <is>
          <t>ÖRKELLJUNGA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61602-2024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45646</v>
      </c>
      <c r="E170" s="1" t="n">
        <v>46300</v>
      </c>
      <c r="F170" t="inlineStr">
        <is>
          <t>SKÅNE LÄN</t>
        </is>
      </c>
      <c r="G170" t="inlineStr">
        <is>
          <t>ÖRKELLJUNGA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25962-2023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45090</v>
      </c>
      <c r="E171" s="1" t="n">
        <v>46300</v>
      </c>
      <c r="F171" t="inlineStr">
        <is>
          <t>SKÅNE LÄN</t>
        </is>
      </c>
      <c r="G171" t="inlineStr">
        <is>
          <t>ÖRKELLJUNGA</t>
        </is>
      </c>
      <c r="I171" t="n">
        <v>7.3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44757</v>
      </c>
      <c r="E172" s="1" t="n">
        <v>46300</v>
      </c>
      <c r="F172" t="inlineStr">
        <is>
          <t>SKÅNE LÄN</t>
        </is>
      </c>
      <c r="G172" t="inlineStr">
        <is>
          <t>ÖRKELLJUNGA</t>
        </is>
      </c>
      <c r="H172" t="inlineStr">
        <is>
          <t>Kyrkan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38214-2023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45161</v>
      </c>
      <c r="E173" s="1" t="n">
        <v>46300</v>
      </c>
      <c r="F173" t="inlineStr">
        <is>
          <t>SKÅNE LÄN</t>
        </is>
      </c>
      <c r="G173" t="inlineStr">
        <is>
          <t>ÖRKELLJUNGA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20671-2026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46141</v>
      </c>
      <c r="E174" s="1" t="n">
        <v>46300</v>
      </c>
      <c r="F174" t="inlineStr">
        <is>
          <t>SKÅNE LÄN</t>
        </is>
      </c>
      <c r="G174" t="inlineStr">
        <is>
          <t>ÖRKELLJUNGA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35168-2025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45852</v>
      </c>
      <c r="E175" s="1" t="n">
        <v>46300</v>
      </c>
      <c r="F175" t="inlineStr">
        <is>
          <t>SKÅNE LÄN</t>
        </is>
      </c>
      <c r="G175" t="inlineStr">
        <is>
          <t>ÖRKELLJUNGA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23739-2023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45077</v>
      </c>
      <c r="E176" s="1" t="n">
        <v>46300</v>
      </c>
      <c r="F176" t="inlineStr">
        <is>
          <t>SKÅNE LÄN</t>
        </is>
      </c>
      <c r="G176" t="inlineStr">
        <is>
          <t>ÖRKELLJUNGA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34591-2023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45140</v>
      </c>
      <c r="E177" s="1" t="n">
        <v>46300</v>
      </c>
      <c r="F177" t="inlineStr">
        <is>
          <t>SKÅNE LÄN</t>
        </is>
      </c>
      <c r="G177" t="inlineStr">
        <is>
          <t>ÖRKELLJUNGA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9559-2022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44617</v>
      </c>
      <c r="E178" s="1" t="n">
        <v>46300</v>
      </c>
      <c r="F178" t="inlineStr">
        <is>
          <t>SKÅNE LÄN</t>
        </is>
      </c>
      <c r="G178" t="inlineStr">
        <is>
          <t>ÖRKELLJUNGA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31925-2024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45510</v>
      </c>
      <c r="E179" s="1" t="n">
        <v>46300</v>
      </c>
      <c r="F179" t="inlineStr">
        <is>
          <t>SKÅNE LÄN</t>
        </is>
      </c>
      <c r="G179" t="inlineStr">
        <is>
          <t>ÖRKELLJUNGA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30638-2023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45112</v>
      </c>
      <c r="E180" s="1" t="n">
        <v>46300</v>
      </c>
      <c r="F180" t="inlineStr">
        <is>
          <t>SKÅNE LÄN</t>
        </is>
      </c>
      <c r="G180" t="inlineStr">
        <is>
          <t>ÖRKELLJUNGA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2088-2023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44939</v>
      </c>
      <c r="E181" s="1" t="n">
        <v>46300</v>
      </c>
      <c r="F181" t="inlineStr">
        <is>
          <t>SKÅNE LÄN</t>
        </is>
      </c>
      <c r="G181" t="inlineStr">
        <is>
          <t>ÖRKELLJUNGA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46155</v>
      </c>
      <c r="E182" s="1" t="n">
        <v>46300</v>
      </c>
      <c r="F182" t="inlineStr">
        <is>
          <t>SKÅNE LÄN</t>
        </is>
      </c>
      <c r="G182" t="inlineStr">
        <is>
          <t>ÖRKELLJUNGA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22552-2026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46155</v>
      </c>
      <c r="E183" s="1" t="n">
        <v>46300</v>
      </c>
      <c r="F183" t="inlineStr">
        <is>
          <t>SKÅNE LÄN</t>
        </is>
      </c>
      <c r="G183" t="inlineStr">
        <is>
          <t>ÖRKELLJUNGA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34631-2025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45848</v>
      </c>
      <c r="E184" s="1" t="n">
        <v>46300</v>
      </c>
      <c r="F184" t="inlineStr">
        <is>
          <t>SKÅNE LÄN</t>
        </is>
      </c>
      <c r="G184" t="inlineStr">
        <is>
          <t>ÖRKELLJUNGA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36838-2024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45538</v>
      </c>
      <c r="E185" s="1" t="n">
        <v>46300</v>
      </c>
      <c r="F185" t="inlineStr">
        <is>
          <t>SKÅNE LÄN</t>
        </is>
      </c>
      <c r="G185" t="inlineStr">
        <is>
          <t>ÖRKELLJUNGA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53676-2025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45960</v>
      </c>
      <c r="E186" s="1" t="n">
        <v>46300</v>
      </c>
      <c r="F186" t="inlineStr">
        <is>
          <t>SKÅNE LÄN</t>
        </is>
      </c>
      <c r="G186" t="inlineStr">
        <is>
          <t>ÖRKELLJUNGA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44846-2025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45918</v>
      </c>
      <c r="E187" s="1" t="n">
        <v>46300</v>
      </c>
      <c r="F187" t="inlineStr">
        <is>
          <t>SKÅNE LÄN</t>
        </is>
      </c>
      <c r="G187" t="inlineStr">
        <is>
          <t>ÖRKELLJUNGA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25674-2026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46178</v>
      </c>
      <c r="E188" s="1" t="n">
        <v>46300</v>
      </c>
      <c r="F188" t="inlineStr">
        <is>
          <t>SKÅNE LÄN</t>
        </is>
      </c>
      <c r="G188" t="inlineStr">
        <is>
          <t>ÖRKELLJUNGA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25699-2026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46178</v>
      </c>
      <c r="E189" s="1" t="n">
        <v>46300</v>
      </c>
      <c r="F189" t="inlineStr">
        <is>
          <t>SKÅNE LÄN</t>
        </is>
      </c>
      <c r="G189" t="inlineStr">
        <is>
          <t>ÖRKELLJUNGA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38897-2025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45887</v>
      </c>
      <c r="E190" s="1" t="n">
        <v>46300</v>
      </c>
      <c r="F190" t="inlineStr">
        <is>
          <t>SKÅNE LÄN</t>
        </is>
      </c>
      <c r="G190" t="inlineStr">
        <is>
          <t>ÖRKELLJUNGA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25772-2026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46300</v>
      </c>
      <c r="F191" t="inlineStr">
        <is>
          <t>SKÅNE LÄN</t>
        </is>
      </c>
      <c r="G191" t="inlineStr">
        <is>
          <t>ÖRKELLJUNGA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25778-2026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46178</v>
      </c>
      <c r="E192" s="1" t="n">
        <v>46300</v>
      </c>
      <c r="F192" t="inlineStr">
        <is>
          <t>SKÅNE LÄN</t>
        </is>
      </c>
      <c r="G192" t="inlineStr">
        <is>
          <t>ÖRKELLJUNGA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25789-2026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46178</v>
      </c>
      <c r="E193" s="1" t="n">
        <v>46300</v>
      </c>
      <c r="F193" t="inlineStr">
        <is>
          <t>SKÅNE LÄN</t>
        </is>
      </c>
      <c r="G193" t="inlineStr">
        <is>
          <t>ÖRKELLJUNGA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25912-2026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46178</v>
      </c>
      <c r="E194" s="1" t="n">
        <v>46300</v>
      </c>
      <c r="F194" t="inlineStr">
        <is>
          <t>SKÅNE LÄN</t>
        </is>
      </c>
      <c r="G194" t="inlineStr">
        <is>
          <t>ÖRKELLJUNGA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25794-2026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46178</v>
      </c>
      <c r="E195" s="1" t="n">
        <v>46300</v>
      </c>
      <c r="F195" t="inlineStr">
        <is>
          <t>SKÅNE LÄN</t>
        </is>
      </c>
      <c r="G195" t="inlineStr">
        <is>
          <t>ÖRKELLJUNGA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44939</v>
      </c>
      <c r="E196" s="1" t="n">
        <v>46300</v>
      </c>
      <c r="F196" t="inlineStr">
        <is>
          <t>SKÅNE LÄN</t>
        </is>
      </c>
      <c r="G196" t="inlineStr">
        <is>
          <t>ÖRKELLJUNGA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25780-2026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46178</v>
      </c>
      <c r="E197" s="1" t="n">
        <v>46300</v>
      </c>
      <c r="F197" t="inlineStr">
        <is>
          <t>SKÅNE LÄN</t>
        </is>
      </c>
      <c r="G197" t="inlineStr">
        <is>
          <t>ÖRKELLJUNGA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25501-2026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46177</v>
      </c>
      <c r="E198" s="1" t="n">
        <v>46300</v>
      </c>
      <c r="F198" t="inlineStr">
        <is>
          <t>SKÅNE LÄN</t>
        </is>
      </c>
      <c r="G198" t="inlineStr">
        <is>
          <t>ÖRKELLJUNGA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25765-2026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46300</v>
      </c>
      <c r="F199" t="inlineStr">
        <is>
          <t>SKÅNE LÄN</t>
        </is>
      </c>
      <c r="G199" t="inlineStr">
        <is>
          <t>ÖRKELLJUNGA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26578-2026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46300</v>
      </c>
      <c r="F200" t="inlineStr">
        <is>
          <t>SKÅNE LÄN</t>
        </is>
      </c>
      <c r="G200" t="inlineStr">
        <is>
          <t>ÖRKELLJUNGA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26580-2026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46300</v>
      </c>
      <c r="F201" t="inlineStr">
        <is>
          <t>SKÅNE LÄN</t>
        </is>
      </c>
      <c r="G201" t="inlineStr">
        <is>
          <t>ÖRKELLJUNGA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26597-2026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46183</v>
      </c>
      <c r="E202" s="1" t="n">
        <v>46300</v>
      </c>
      <c r="F202" t="inlineStr">
        <is>
          <t>SKÅNE LÄN</t>
        </is>
      </c>
      <c r="G202" t="inlineStr">
        <is>
          <t>ÖRKELLJUNGA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26564-2026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46183</v>
      </c>
      <c r="E203" s="1" t="n">
        <v>46300</v>
      </c>
      <c r="F203" t="inlineStr">
        <is>
          <t>SKÅNE LÄN</t>
        </is>
      </c>
      <c r="G203" t="inlineStr">
        <is>
          <t>ÖRKELLJUNGA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46183</v>
      </c>
      <c r="E204" s="1" t="n">
        <v>46300</v>
      </c>
      <c r="F204" t="inlineStr">
        <is>
          <t>SKÅNE LÄN</t>
        </is>
      </c>
      <c r="G204" t="inlineStr">
        <is>
          <t>ÖRKELLJUNGA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8204-2023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44971</v>
      </c>
      <c r="E205" s="1" t="n">
        <v>46300</v>
      </c>
      <c r="F205" t="inlineStr">
        <is>
          <t>SKÅNE LÄN</t>
        </is>
      </c>
      <c r="G205" t="inlineStr">
        <is>
          <t>ÖRKELLJUNGA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26583-2026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46183</v>
      </c>
      <c r="E206" s="1" t="n">
        <v>46300</v>
      </c>
      <c r="F206" t="inlineStr">
        <is>
          <t>SKÅNE LÄN</t>
        </is>
      </c>
      <c r="G206" t="inlineStr">
        <is>
          <t>ÖRKELLJUNGA</t>
        </is>
      </c>
      <c r="I206" t="n">
        <v>8.199999999999999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26594-2026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46183</v>
      </c>
      <c r="E207" s="1" t="n">
        <v>46300</v>
      </c>
      <c r="F207" t="inlineStr">
        <is>
          <t>SKÅNE LÄN</t>
        </is>
      </c>
      <c r="G207" t="inlineStr">
        <is>
          <t>ÖRKELLJUNGA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26596-2026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46183</v>
      </c>
      <c r="E208" s="1" t="n">
        <v>46300</v>
      </c>
      <c r="F208" t="inlineStr">
        <is>
          <t>SKÅNE LÄN</t>
        </is>
      </c>
      <c r="G208" t="inlineStr">
        <is>
          <t>ÖRKELLJUNGA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11121-2025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45723</v>
      </c>
      <c r="E209" s="1" t="n">
        <v>46300</v>
      </c>
      <c r="F209" t="inlineStr">
        <is>
          <t>SKÅNE LÄN</t>
        </is>
      </c>
      <c r="G209" t="inlineStr">
        <is>
          <t>ÖRKELLJUNGA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3830-2022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44587</v>
      </c>
      <c r="E210" s="1" t="n">
        <v>46300</v>
      </c>
      <c r="F210" t="inlineStr">
        <is>
          <t>SKÅNE LÄN</t>
        </is>
      </c>
      <c r="G210" t="inlineStr">
        <is>
          <t>ÖRKELLJUNGA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27146-2026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46188</v>
      </c>
      <c r="E211" s="1" t="n">
        <v>46300</v>
      </c>
      <c r="F211" t="inlineStr">
        <is>
          <t>SKÅNE LÄN</t>
        </is>
      </c>
      <c r="G211" t="inlineStr">
        <is>
          <t>ÖRKELLJUNGA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21152-2022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44704</v>
      </c>
      <c r="E212" s="1" t="n">
        <v>46300</v>
      </c>
      <c r="F212" t="inlineStr">
        <is>
          <t>SKÅNE LÄN</t>
        </is>
      </c>
      <c r="G212" t="inlineStr">
        <is>
          <t>ÖRKELLJUNGA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58130-2022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46300</v>
      </c>
      <c r="F213" t="inlineStr">
        <is>
          <t>SKÅNE LÄN</t>
        </is>
      </c>
      <c r="G213" t="inlineStr">
        <is>
          <t>ÖRKELLJUNGA</t>
        </is>
      </c>
      <c r="I213" t="n">
        <v>23.2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44942</v>
      </c>
      <c r="E214" s="1" t="n">
        <v>46300</v>
      </c>
      <c r="F214" t="inlineStr">
        <is>
          <t>SKÅNE LÄN</t>
        </is>
      </c>
      <c r="G214" t="inlineStr">
        <is>
          <t>ÖRKELLJUNGA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55049-2023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45237</v>
      </c>
      <c r="E215" s="1" t="n">
        <v>46300</v>
      </c>
      <c r="F215" t="inlineStr">
        <is>
          <t>SKÅNE LÄN</t>
        </is>
      </c>
      <c r="G215" t="inlineStr">
        <is>
          <t>ÖRKELLJUNGA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15987-2025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45749</v>
      </c>
      <c r="E216" s="1" t="n">
        <v>46300</v>
      </c>
      <c r="F216" t="inlineStr">
        <is>
          <t>SKÅNE LÄN</t>
        </is>
      </c>
      <c r="G216" t="inlineStr">
        <is>
          <t>ÖRKELLJUNGA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57208-2022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44895</v>
      </c>
      <c r="E217" s="1" t="n">
        <v>46300</v>
      </c>
      <c r="F217" t="inlineStr">
        <is>
          <t>SKÅNE LÄN</t>
        </is>
      </c>
      <c r="G217" t="inlineStr">
        <is>
          <t>ÖRKELLJUNGA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29401-2026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46203</v>
      </c>
      <c r="E218" s="1" t="n">
        <v>46300</v>
      </c>
      <c r="F218" t="inlineStr">
        <is>
          <t>SKÅNE LÄN</t>
        </is>
      </c>
      <c r="G218" t="inlineStr">
        <is>
          <t>ÖRKELLJUNGA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46203</v>
      </c>
      <c r="E219" s="1" t="n">
        <v>46300</v>
      </c>
      <c r="F219" t="inlineStr">
        <is>
          <t>SKÅNE LÄN</t>
        </is>
      </c>
      <c r="G219" t="inlineStr">
        <is>
          <t>ÖRKELLJUNGA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29528-2026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46203</v>
      </c>
      <c r="E220" s="1" t="n">
        <v>46300</v>
      </c>
      <c r="F220" t="inlineStr">
        <is>
          <t>SKÅNE LÄN</t>
        </is>
      </c>
      <c r="G220" t="inlineStr">
        <is>
          <t>ÖRKELLJUNGA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29529-2026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46203</v>
      </c>
      <c r="E221" s="1" t="n">
        <v>46300</v>
      </c>
      <c r="F221" t="inlineStr">
        <is>
          <t>SKÅNE LÄN</t>
        </is>
      </c>
      <c r="G221" t="inlineStr">
        <is>
          <t>ÖRKELLJUNGA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44951</v>
      </c>
      <c r="E222" s="1" t="n">
        <v>46300</v>
      </c>
      <c r="F222" t="inlineStr">
        <is>
          <t>SKÅNE LÄN</t>
        </is>
      </c>
      <c r="G222" t="inlineStr">
        <is>
          <t>ÖRKELLJUNGA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25965-2023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45090</v>
      </c>
      <c r="E223" s="1" t="n">
        <v>46300</v>
      </c>
      <c r="F223" t="inlineStr">
        <is>
          <t>SKÅNE LÄN</t>
        </is>
      </c>
      <c r="G223" t="inlineStr">
        <is>
          <t>ÖRKELLJUNGA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38928-2024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45548</v>
      </c>
      <c r="E224" s="1" t="n">
        <v>46300</v>
      </c>
      <c r="F224" t="inlineStr">
        <is>
          <t>SKÅNE LÄN</t>
        </is>
      </c>
      <c r="G224" t="inlineStr">
        <is>
          <t>ÖRKELLJUNGA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7707-2024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45349</v>
      </c>
      <c r="E225" s="1" t="n">
        <v>46300</v>
      </c>
      <c r="F225" t="inlineStr">
        <is>
          <t>SKÅNE LÄN</t>
        </is>
      </c>
      <c r="G225" t="inlineStr">
        <is>
          <t>ÖRKELLJUNGA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34919-2026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46259</v>
      </c>
      <c r="E226" s="1" t="n">
        <v>46300</v>
      </c>
      <c r="F226" t="inlineStr">
        <is>
          <t>SKÅNE LÄN</t>
        </is>
      </c>
      <c r="G226" t="inlineStr">
        <is>
          <t>ÖRKELLJUNGA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34770-2026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46258</v>
      </c>
      <c r="E227" s="1" t="n">
        <v>46300</v>
      </c>
      <c r="F227" t="inlineStr">
        <is>
          <t>SKÅNE LÄN</t>
        </is>
      </c>
      <c r="G227" t="inlineStr">
        <is>
          <t>ÖRKELLJUNGA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28980-2026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46199</v>
      </c>
      <c r="E228" s="1" t="n">
        <v>46300</v>
      </c>
      <c r="F228" t="inlineStr">
        <is>
          <t>SKÅNE LÄN</t>
        </is>
      </c>
      <c r="G228" t="inlineStr">
        <is>
          <t>ÖRKELLJUNGA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14254-2023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45009</v>
      </c>
      <c r="E229" s="1" t="n">
        <v>46300</v>
      </c>
      <c r="F229" t="inlineStr">
        <is>
          <t>SKÅNE LÄN</t>
        </is>
      </c>
      <c r="G229" t="inlineStr">
        <is>
          <t>ÖRKELLJUNGA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47871-2022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44855</v>
      </c>
      <c r="E230" s="1" t="n">
        <v>46300</v>
      </c>
      <c r="F230" t="inlineStr">
        <is>
          <t>SKÅNE LÄN</t>
        </is>
      </c>
      <c r="G230" t="inlineStr">
        <is>
          <t>ÖRKELLJUNGA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40190-2022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44820</v>
      </c>
      <c r="E231" s="1" t="n">
        <v>46300</v>
      </c>
      <c r="F231" t="inlineStr">
        <is>
          <t>SKÅNE LÄN</t>
        </is>
      </c>
      <c r="G231" t="inlineStr">
        <is>
          <t>ÖRKELLJUNGA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37517-2026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46276</v>
      </c>
      <c r="E232" s="1" t="n">
        <v>46300</v>
      </c>
      <c r="F232" t="inlineStr">
        <is>
          <t>SKÅNE LÄN</t>
        </is>
      </c>
      <c r="G232" t="inlineStr">
        <is>
          <t>ÖRKELLJUNGA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40017-2023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45168</v>
      </c>
      <c r="E233" s="1" t="n">
        <v>46300</v>
      </c>
      <c r="F233" t="inlineStr">
        <is>
          <t>SKÅNE LÄN</t>
        </is>
      </c>
      <c r="G233" t="inlineStr">
        <is>
          <t>ÖRKELLJUNGA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34279-2023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45138</v>
      </c>
      <c r="E234" s="1" t="n">
        <v>46300</v>
      </c>
      <c r="F234" t="inlineStr">
        <is>
          <t>SKÅNE LÄN</t>
        </is>
      </c>
      <c r="G234" t="inlineStr">
        <is>
          <t>ÖRKELLJUNGA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35988-2026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46266</v>
      </c>
      <c r="E235" s="1" t="n">
        <v>46300</v>
      </c>
      <c r="F235" t="inlineStr">
        <is>
          <t>SKÅNE LÄN</t>
        </is>
      </c>
      <c r="G235" t="inlineStr">
        <is>
          <t>ÖRKELLJUNGA</t>
        </is>
      </c>
      <c r="I235" t="n">
        <v>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54661-2023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45235</v>
      </c>
      <c r="E236" s="1" t="n">
        <v>46300</v>
      </c>
      <c r="F236" t="inlineStr">
        <is>
          <t>SKÅNE LÄN</t>
        </is>
      </c>
      <c r="G236" t="inlineStr">
        <is>
          <t>ÖRKELLJUNGA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54646-2023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45235</v>
      </c>
      <c r="E237" s="1" t="n">
        <v>46300</v>
      </c>
      <c r="F237" t="inlineStr">
        <is>
          <t>SKÅNE LÄN</t>
        </is>
      </c>
      <c r="G237" t="inlineStr">
        <is>
          <t>ÖRKELLJUNGA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39212-2026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46287</v>
      </c>
      <c r="E238" s="1" t="n">
        <v>46300</v>
      </c>
      <c r="F238" t="inlineStr">
        <is>
          <t>SKÅNE LÄN</t>
        </is>
      </c>
      <c r="G238" t="inlineStr">
        <is>
          <t>ÖRKELLJUNGA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2092-2023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44939</v>
      </c>
      <c r="E239" s="1" t="n">
        <v>46300</v>
      </c>
      <c r="F239" t="inlineStr">
        <is>
          <t>SKÅNE LÄN</t>
        </is>
      </c>
      <c r="G239" t="inlineStr">
        <is>
          <t>ÖRKELLJUNGA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21023-2024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45439</v>
      </c>
      <c r="E240" s="1" t="n">
        <v>46300</v>
      </c>
      <c r="F240" t="inlineStr">
        <is>
          <t>SKÅNE LÄN</t>
        </is>
      </c>
      <c r="G240" t="inlineStr">
        <is>
          <t>ÖRKELLJUNGA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62180-2022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44915</v>
      </c>
      <c r="E241" s="1" t="n">
        <v>46300</v>
      </c>
      <c r="F241" t="inlineStr">
        <is>
          <t>SKÅNE LÄN</t>
        </is>
      </c>
      <c r="G241" t="inlineStr">
        <is>
          <t>ÖRKELLJUNGA</t>
        </is>
      </c>
      <c r="H241" t="inlineStr">
        <is>
          <t>Kyrkan</t>
        </is>
      </c>
      <c r="I241" t="n">
        <v>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38954-2026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46282</v>
      </c>
      <c r="E242" s="1" t="n">
        <v>46300</v>
      </c>
      <c r="F242" t="inlineStr">
        <is>
          <t>SKÅNE LÄN</t>
        </is>
      </c>
      <c r="G242" t="inlineStr">
        <is>
          <t>ÖRKELLJUNGA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39228-2026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46287</v>
      </c>
      <c r="E243" s="1" t="n">
        <v>46300</v>
      </c>
      <c r="F243" t="inlineStr">
        <is>
          <t>SKÅNE LÄN</t>
        </is>
      </c>
      <c r="G243" t="inlineStr">
        <is>
          <t>ÖRKELLJUNGA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33180-2026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46245</v>
      </c>
      <c r="E244" s="1" t="n">
        <v>46300</v>
      </c>
      <c r="F244" t="inlineStr">
        <is>
          <t>SKÅNE LÄN</t>
        </is>
      </c>
      <c r="G244" t="inlineStr">
        <is>
          <t>ÖRKELLJUNGA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33182-2026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46245</v>
      </c>
      <c r="E245" s="1" t="n">
        <v>46300</v>
      </c>
      <c r="F245" t="inlineStr">
        <is>
          <t>SKÅNE LÄN</t>
        </is>
      </c>
      <c r="G245" t="inlineStr">
        <is>
          <t>ÖRKELLJUNGA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39448-2026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46288</v>
      </c>
      <c r="E246" s="1" t="n">
        <v>46300</v>
      </c>
      <c r="F246" t="inlineStr">
        <is>
          <t>SKÅNE LÄN</t>
        </is>
      </c>
      <c r="G246" t="inlineStr">
        <is>
          <t>ÖRKELLJUNGA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33183-2026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46245</v>
      </c>
      <c r="E247" s="1" t="n">
        <v>46300</v>
      </c>
      <c r="F247" t="inlineStr">
        <is>
          <t>SKÅNE LÄN</t>
        </is>
      </c>
      <c r="G247" t="inlineStr">
        <is>
          <t>ÖRKELLJUNGA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23990-2023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45078</v>
      </c>
      <c r="E248" s="1" t="n">
        <v>46300</v>
      </c>
      <c r="F248" t="inlineStr">
        <is>
          <t>SKÅNE LÄN</t>
        </is>
      </c>
      <c r="G248" t="inlineStr">
        <is>
          <t>ÖRKELLJUNGA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40144-2026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46293</v>
      </c>
      <c r="E249" s="1" t="n">
        <v>46300</v>
      </c>
      <c r="F249" t="inlineStr">
        <is>
          <t>SKÅNE LÄN</t>
        </is>
      </c>
      <c r="G249" t="inlineStr">
        <is>
          <t>ÖRKELLJUNGA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39759-2026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46290</v>
      </c>
      <c r="E250" s="1" t="n">
        <v>46300</v>
      </c>
      <c r="F250" t="inlineStr">
        <is>
          <t>SKÅNE LÄN</t>
        </is>
      </c>
      <c r="G250" t="inlineStr">
        <is>
          <t>ÖRKELLJUNGA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1935-2024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45308</v>
      </c>
      <c r="E251" s="1" t="n">
        <v>46300</v>
      </c>
      <c r="F251" t="inlineStr">
        <is>
          <t>SKÅNE LÄN</t>
        </is>
      </c>
      <c r="G251" t="inlineStr">
        <is>
          <t>ÖRKELLJUNGA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22406-2024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45446</v>
      </c>
      <c r="E252" s="1" t="n">
        <v>46300</v>
      </c>
      <c r="F252" t="inlineStr">
        <is>
          <t>SKÅNE LÄN</t>
        </is>
      </c>
      <c r="G252" t="inlineStr">
        <is>
          <t>ÖRKELLJUNGA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26179-2023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45091</v>
      </c>
      <c r="E253" s="1" t="n">
        <v>46300</v>
      </c>
      <c r="F253" t="inlineStr">
        <is>
          <t>SKÅNE LÄN</t>
        </is>
      </c>
      <c r="G253" t="inlineStr">
        <is>
          <t>ÖRKELLJUNGA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37912-2026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46280</v>
      </c>
      <c r="E254" s="1" t="n">
        <v>46300</v>
      </c>
      <c r="F254" t="inlineStr">
        <is>
          <t>SKÅNE LÄN</t>
        </is>
      </c>
      <c r="G254" t="inlineStr">
        <is>
          <t>ÖRKELLJUNGA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27967-2024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45476</v>
      </c>
      <c r="E255" s="1" t="n">
        <v>46300</v>
      </c>
      <c r="F255" t="inlineStr">
        <is>
          <t>SKÅNE LÄN</t>
        </is>
      </c>
      <c r="G255" t="inlineStr">
        <is>
          <t>ÖRKELLJUNGA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26837-2022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44740</v>
      </c>
      <c r="E256" s="1" t="n">
        <v>46300</v>
      </c>
      <c r="F256" t="inlineStr">
        <is>
          <t>SKÅNE LÄN</t>
        </is>
      </c>
      <c r="G256" t="inlineStr">
        <is>
          <t>ÖRKELLJUNGA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25967-2023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45090</v>
      </c>
      <c r="E257" s="1" t="n">
        <v>46300</v>
      </c>
      <c r="F257" t="inlineStr">
        <is>
          <t>SKÅNE LÄN</t>
        </is>
      </c>
      <c r="G257" t="inlineStr">
        <is>
          <t>ÖRKELLJUNGA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29334-2022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44752</v>
      </c>
      <c r="E258" s="1" t="n">
        <v>46300</v>
      </c>
      <c r="F258" t="inlineStr">
        <is>
          <t>SKÅNE LÄN</t>
        </is>
      </c>
      <c r="G258" t="inlineStr">
        <is>
          <t>ÖRKELLJUNGA</t>
        </is>
      </c>
      <c r="H258" t="inlineStr">
        <is>
          <t>Kommuner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45695</v>
      </c>
      <c r="E259" s="1" t="n">
        <v>46300</v>
      </c>
      <c r="F259" t="inlineStr">
        <is>
          <t>SKÅNE LÄN</t>
        </is>
      </c>
      <c r="G259" t="inlineStr">
        <is>
          <t>ÖRKELLJUNGA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29335-2022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44752</v>
      </c>
      <c r="E260" s="1" t="n">
        <v>46300</v>
      </c>
      <c r="F260" t="inlineStr">
        <is>
          <t>SKÅNE LÄN</t>
        </is>
      </c>
      <c r="G260" t="inlineStr">
        <is>
          <t>ÖRKELLJUNGA</t>
        </is>
      </c>
      <c r="H260" t="inlineStr">
        <is>
          <t>Kommuner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38065-2026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46280</v>
      </c>
      <c r="E261" s="1" t="n">
        <v>46300</v>
      </c>
      <c r="F261" t="inlineStr">
        <is>
          <t>SKÅNE LÄN</t>
        </is>
      </c>
      <c r="G261" t="inlineStr">
        <is>
          <t>ÖRKELLJUNGA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44882-2022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44841</v>
      </c>
      <c r="E262" s="1" t="n">
        <v>46300</v>
      </c>
      <c r="F262" t="inlineStr">
        <is>
          <t>SKÅNE LÄN</t>
        </is>
      </c>
      <c r="G262" t="inlineStr">
        <is>
          <t>ÖRKELLJUNGA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56460-2023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45243</v>
      </c>
      <c r="E263" s="1" t="n">
        <v>46300</v>
      </c>
      <c r="F263" t="inlineStr">
        <is>
          <t>SKÅNE LÄN</t>
        </is>
      </c>
      <c r="G263" t="inlineStr">
        <is>
          <t>ÖRKELLJUNGA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45671</v>
      </c>
      <c r="E264" s="1" t="n">
        <v>46300</v>
      </c>
      <c r="F264" t="inlineStr">
        <is>
          <t>SKÅNE LÄN</t>
        </is>
      </c>
      <c r="G264" t="inlineStr">
        <is>
          <t>ÖRKELLJUNGA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26178-2023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45091</v>
      </c>
      <c r="E265" s="1" t="n">
        <v>46300</v>
      </c>
      <c r="F265" t="inlineStr">
        <is>
          <t>SKÅNE LÄN</t>
        </is>
      </c>
      <c r="G265" t="inlineStr">
        <is>
          <t>ÖRKELLJUNGA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51577-2023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45222</v>
      </c>
      <c r="E266" s="1" t="n">
        <v>46300</v>
      </c>
      <c r="F266" t="inlineStr">
        <is>
          <t>SKÅNE LÄN</t>
        </is>
      </c>
      <c r="G266" t="inlineStr">
        <is>
          <t>ÖRKELLJUNGA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63029-2023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45272</v>
      </c>
      <c r="E267" s="1" t="n">
        <v>46300</v>
      </c>
      <c r="F267" t="inlineStr">
        <is>
          <t>SKÅNE LÄN</t>
        </is>
      </c>
      <c r="G267" t="inlineStr">
        <is>
          <t>ÖRKELLJUNGA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58284-2023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45250</v>
      </c>
      <c r="E268" s="1" t="n">
        <v>46300</v>
      </c>
      <c r="F268" t="inlineStr">
        <is>
          <t>SKÅNE LÄN</t>
        </is>
      </c>
      <c r="G268" t="inlineStr">
        <is>
          <t>ÖRKELLJUNGA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27497-2024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45474</v>
      </c>
      <c r="E269" s="1" t="n">
        <v>46300</v>
      </c>
      <c r="F269" t="inlineStr">
        <is>
          <t>SKÅNE LÄN</t>
        </is>
      </c>
      <c r="G269" t="inlineStr">
        <is>
          <t>ÖRKELLJUNGA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48966-2023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45209</v>
      </c>
      <c r="E270" s="1" t="n">
        <v>46300</v>
      </c>
      <c r="F270" t="inlineStr">
        <is>
          <t>SKÅNE LÄN</t>
        </is>
      </c>
      <c r="G270" t="inlineStr">
        <is>
          <t>ÖRKELLJUNGA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2405-2025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45674</v>
      </c>
      <c r="E271" s="1" t="n">
        <v>46300</v>
      </c>
      <c r="F271" t="inlineStr">
        <is>
          <t>SKÅNE LÄN</t>
        </is>
      </c>
      <c r="G271" t="inlineStr">
        <is>
          <t>ÖRKELLJUNGA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27540-2024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45474</v>
      </c>
      <c r="E272" s="1" t="n">
        <v>46300</v>
      </c>
      <c r="F272" t="inlineStr">
        <is>
          <t>SKÅNE LÄN</t>
        </is>
      </c>
      <c r="G272" t="inlineStr">
        <is>
          <t>ÖRKELLJUNGA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9773-2024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45362</v>
      </c>
      <c r="E273" s="1" t="n">
        <v>46300</v>
      </c>
      <c r="F273" t="inlineStr">
        <is>
          <t>SKÅNE LÄN</t>
        </is>
      </c>
      <c r="G273" t="inlineStr">
        <is>
          <t>ÖRKELLJUNGA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57795-2022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44897</v>
      </c>
      <c r="E274" s="1" t="n">
        <v>46300</v>
      </c>
      <c r="F274" t="inlineStr">
        <is>
          <t>SKÅNE LÄN</t>
        </is>
      </c>
      <c r="G274" t="inlineStr">
        <is>
          <t>ÖRKELLJUNGA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50279-2023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45216</v>
      </c>
      <c r="E275" s="1" t="n">
        <v>46300</v>
      </c>
      <c r="F275" t="inlineStr">
        <is>
          <t>SKÅNE LÄN</t>
        </is>
      </c>
      <c r="G275" t="inlineStr">
        <is>
          <t>ÖRKELLJUNGA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33796-2023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45133</v>
      </c>
      <c r="E276" s="1" t="n">
        <v>46300</v>
      </c>
      <c r="F276" t="inlineStr">
        <is>
          <t>SKÅNE LÄN</t>
        </is>
      </c>
      <c r="G276" t="inlineStr">
        <is>
          <t>ÖRKELLJUNGA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2090-2023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44939</v>
      </c>
      <c r="E277" s="1" t="n">
        <v>46300</v>
      </c>
      <c r="F277" t="inlineStr">
        <is>
          <t>SKÅNE LÄN</t>
        </is>
      </c>
      <c r="G277" t="inlineStr">
        <is>
          <t>ÖRKELLJUNGA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57161-2022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44895</v>
      </c>
      <c r="E278" s="1" t="n">
        <v>46300</v>
      </c>
      <c r="F278" t="inlineStr">
        <is>
          <t>SKÅNE LÄN</t>
        </is>
      </c>
      <c r="G278" t="inlineStr">
        <is>
          <t>ÖRKELLJUNGA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2086-2023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44939</v>
      </c>
      <c r="E279" s="1" t="n">
        <v>46300</v>
      </c>
      <c r="F279" t="inlineStr">
        <is>
          <t>SKÅNE LÄN</t>
        </is>
      </c>
      <c r="G279" t="inlineStr">
        <is>
          <t>ÖRKELLJUNGA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50304-2023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45209</v>
      </c>
      <c r="E280" s="1" t="n">
        <v>46300</v>
      </c>
      <c r="F280" t="inlineStr">
        <is>
          <t>SKÅNE LÄN</t>
        </is>
      </c>
      <c r="G280" t="inlineStr">
        <is>
          <t>ÖRKELLJUNGA</t>
        </is>
      </c>
      <c r="I280" t="n">
        <v>17.9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11126-2025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45723</v>
      </c>
      <c r="E281" s="1" t="n">
        <v>46300</v>
      </c>
      <c r="F281" t="inlineStr">
        <is>
          <t>SKÅNE LÄN</t>
        </is>
      </c>
      <c r="G281" t="inlineStr">
        <is>
          <t>ÖRKELLJUNGA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37620-2023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45159</v>
      </c>
      <c r="E282" s="1" t="n">
        <v>46300</v>
      </c>
      <c r="F282" t="inlineStr">
        <is>
          <t>SKÅNE LÄN</t>
        </is>
      </c>
      <c r="G282" t="inlineStr">
        <is>
          <t>ÖRKELLJUNGA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9695-2023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44984</v>
      </c>
      <c r="E283" s="1" t="n">
        <v>46300</v>
      </c>
      <c r="F283" t="inlineStr">
        <is>
          <t>SKÅNE LÄN</t>
        </is>
      </c>
      <c r="G283" t="inlineStr">
        <is>
          <t>ÖRKELLJUNGA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2399-2025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45672</v>
      </c>
      <c r="E284" s="1" t="n">
        <v>46300</v>
      </c>
      <c r="F284" t="inlineStr">
        <is>
          <t>SKÅNE LÄN</t>
        </is>
      </c>
      <c r="G284" t="inlineStr">
        <is>
          <t>ÖRKELLJUNGA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22699-2024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45448</v>
      </c>
      <c r="E285" s="1" t="n">
        <v>46300</v>
      </c>
      <c r="F285" t="inlineStr">
        <is>
          <t>SKÅNE LÄN</t>
        </is>
      </c>
      <c r="G285" t="inlineStr">
        <is>
          <t>ÖRKELLJUNGA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20492-2024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45435</v>
      </c>
      <c r="E286" s="1" t="n">
        <v>46300</v>
      </c>
      <c r="F286" t="inlineStr">
        <is>
          <t>SKÅNE LÄN</t>
        </is>
      </c>
      <c r="G286" t="inlineStr">
        <is>
          <t>ÖRKELLJUNGA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49362-2024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45595</v>
      </c>
      <c r="E287" s="1" t="n">
        <v>46300</v>
      </c>
      <c r="F287" t="inlineStr">
        <is>
          <t>SKÅNE LÄN</t>
        </is>
      </c>
      <c r="G287" t="inlineStr">
        <is>
          <t>ÖRKELLJUNGA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45659</v>
      </c>
      <c r="E288" s="1" t="n">
        <v>46300</v>
      </c>
      <c r="F288" t="inlineStr">
        <is>
          <t>SKÅNE LÄN</t>
        </is>
      </c>
      <c r="G288" t="inlineStr">
        <is>
          <t>ÖRKELLJUNGA</t>
        </is>
      </c>
      <c r="I288" t="n">
        <v>6.9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25958-2023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45090</v>
      </c>
      <c r="E289" s="1" t="n">
        <v>46300</v>
      </c>
      <c r="F289" t="inlineStr">
        <is>
          <t>SKÅNE LÄN</t>
        </is>
      </c>
      <c r="G289" t="inlineStr">
        <is>
          <t>ÖRKELLJUNGA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1016-2020</t>
        </is>
      </c>
      <c r="B290" t="inlineStr">
        <is>
          <t>samrådsanmälan</t>
        </is>
      </c>
      <c r="C290" t="inlineStr">
        <is>
          <t>Åtgärd i nyckelbiotop</t>
        </is>
      </c>
      <c r="D290" s="1" t="n">
        <v>43957</v>
      </c>
      <c r="E290" s="1" t="n">
        <v>46300</v>
      </c>
      <c r="F290" t="inlineStr">
        <is>
          <t>SKÅNE LÄN</t>
        </is>
      </c>
      <c r="G290" t="inlineStr">
        <is>
          <t>ÖRKELLJUNGA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2857-2024</t>
        </is>
      </c>
      <c r="B291" t="inlineStr">
        <is>
          <t>samrådsanmälan</t>
        </is>
      </c>
      <c r="C291" t="inlineStr">
        <is>
          <t>Annan skogsbruksåtgärd</t>
        </is>
      </c>
      <c r="D291" s="1" t="n">
        <v>45496</v>
      </c>
      <c r="E291" s="1" t="n">
        <v>46300</v>
      </c>
      <c r="F291" t="inlineStr">
        <is>
          <t>SKÅNE LÄN</t>
        </is>
      </c>
      <c r="G291" t="inlineStr">
        <is>
          <t>ÖRKELLJUNGA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9957-2021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44536</v>
      </c>
      <c r="E292" s="1" t="n">
        <v>46300</v>
      </c>
      <c r="F292" t="inlineStr">
        <is>
          <t>SKÅNE LÄN</t>
        </is>
      </c>
      <c r="G292" t="inlineStr">
        <is>
          <t>ÖRKELLJUNGA</t>
        </is>
      </c>
      <c r="I292" t="n">
        <v>26.1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455-2023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44959</v>
      </c>
      <c r="E293" s="1" t="n">
        <v>46300</v>
      </c>
      <c r="F293" t="inlineStr">
        <is>
          <t>SKÅNE LÄN</t>
        </is>
      </c>
      <c r="G293" t="inlineStr">
        <is>
          <t>ÖRKELLJUNGA</t>
        </is>
      </c>
      <c r="I293" t="n">
        <v>14.9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5219-2022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44820</v>
      </c>
      <c r="E294" s="1" t="n">
        <v>46300</v>
      </c>
      <c r="F294" t="inlineStr">
        <is>
          <t>SKÅNE LÄN</t>
        </is>
      </c>
      <c r="G294" t="inlineStr">
        <is>
          <t>ÖRKELLJUNGA</t>
        </is>
      </c>
      <c r="I294" t="n">
        <v>22.7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2907-2024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45503</v>
      </c>
      <c r="E295" s="1" t="n">
        <v>46300</v>
      </c>
      <c r="F295" t="inlineStr">
        <is>
          <t>SKÅNE LÄN</t>
        </is>
      </c>
      <c r="G295" t="inlineStr">
        <is>
          <t>ÖRKELLJUNGA</t>
        </is>
      </c>
      <c r="I295" t="n">
        <v>72.5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1259-2022</t>
        </is>
      </c>
      <c r="B296" t="inlineStr">
        <is>
          <t>samrådsanmälan</t>
        </is>
      </c>
      <c r="C296" t="inlineStr">
        <is>
          <t>Skogsbilväg</t>
        </is>
      </c>
      <c r="D296" s="1" t="n">
        <v>44627</v>
      </c>
      <c r="E296" s="1" t="n">
        <v>46300</v>
      </c>
      <c r="F296" t="inlineStr">
        <is>
          <t>SKÅNE LÄN</t>
        </is>
      </c>
      <c r="G296" t="inlineStr">
        <is>
          <t>ÖRKELLJUNGA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4069-2022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44757</v>
      </c>
      <c r="E297" s="1" t="n">
        <v>46300</v>
      </c>
      <c r="F297" t="inlineStr">
        <is>
          <t>SKÅNE LÄN</t>
        </is>
      </c>
      <c r="G297" t="inlineStr">
        <is>
          <t>ÖRKELLJUNGA</t>
        </is>
      </c>
      <c r="I297" t="n">
        <v>24.7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1070-2022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44613</v>
      </c>
      <c r="E298" s="1" t="n">
        <v>46300</v>
      </c>
      <c r="F298" t="inlineStr">
        <is>
          <t>SKÅNE LÄN</t>
        </is>
      </c>
      <c r="G298" t="inlineStr">
        <is>
          <t>ÖRKELLJUNGA</t>
        </is>
      </c>
      <c r="I298" t="n">
        <v>46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2756-2024</t>
        </is>
      </c>
      <c r="B299" t="inlineStr">
        <is>
          <t>samrådsanmälan</t>
        </is>
      </c>
      <c r="C299" t="inlineStr">
        <is>
          <t>Dikesrensning</t>
        </is>
      </c>
      <c r="D299" s="1" t="n">
        <v>45484</v>
      </c>
      <c r="E299" s="1" t="n">
        <v>46300</v>
      </c>
      <c r="F299" t="inlineStr">
        <is>
          <t>SKÅNE LÄN</t>
        </is>
      </c>
      <c r="G299" t="inlineStr">
        <is>
          <t>ÖRKELLJUNGA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856-2023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44993</v>
      </c>
      <c r="E300" s="1" t="n">
        <v>46300</v>
      </c>
      <c r="F300" t="inlineStr">
        <is>
          <t>SKÅNE LÄN</t>
        </is>
      </c>
      <c r="G300" t="inlineStr">
        <is>
          <t>ÖRKELLJUNGA</t>
        </is>
      </c>
      <c r="I300" t="n">
        <v>20.8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2633-2023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45148</v>
      </c>
      <c r="E301" s="1" t="n">
        <v>46300</v>
      </c>
      <c r="F301" t="inlineStr">
        <is>
          <t>SKÅNE LÄN</t>
        </is>
      </c>
      <c r="G301" t="inlineStr">
        <is>
          <t>ÖRKELLJUNGA</t>
        </is>
      </c>
      <c r="I301" t="n">
        <v>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293-2026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46057</v>
      </c>
      <c r="E302" s="1" t="n">
        <v>46300</v>
      </c>
      <c r="F302" t="inlineStr">
        <is>
          <t>SKÅNE LÄN</t>
        </is>
      </c>
      <c r="G302" t="inlineStr">
        <is>
          <t>ÖRKELLJUNGA</t>
        </is>
      </c>
      <c r="I302" t="n">
        <v>40.7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S 718-2026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46093</v>
      </c>
      <c r="E303" s="1" t="n">
        <v>46300</v>
      </c>
      <c r="F303" t="inlineStr">
        <is>
          <t>SKÅNE LÄN</t>
        </is>
      </c>
      <c r="G303" t="inlineStr">
        <is>
          <t>ÖRKELLJUNGA</t>
        </is>
      </c>
      <c r="I303" t="n">
        <v>8.699999999999999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S 755-2026</t>
        </is>
      </c>
      <c r="B304" t="inlineStr">
        <is>
          <t>samrådsanmälan</t>
        </is>
      </c>
      <c r="C304" t="inlineStr">
        <is>
          <t>Askåterföring</t>
        </is>
      </c>
      <c r="D304" s="1" t="n">
        <v>46097</v>
      </c>
      <c r="E304" s="1" t="n">
        <v>46300</v>
      </c>
      <c r="F304" t="inlineStr">
        <is>
          <t>SKÅNE LÄN</t>
        </is>
      </c>
      <c r="G304" t="inlineStr">
        <is>
          <t>ÖRKELLJUNGA</t>
        </is>
      </c>
      <c r="I304" t="n">
        <v>14.3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S 1079-2026</t>
        </is>
      </c>
      <c r="B305" t="inlineStr">
        <is>
          <t>samrådsanmälan</t>
        </is>
      </c>
      <c r="C305" t="inlineStr">
        <is>
          <t>Askåterföring</t>
        </is>
      </c>
      <c r="D305" s="1" t="n">
        <v>46129</v>
      </c>
      <c r="E305" s="1" t="n">
        <v>46300</v>
      </c>
      <c r="F305" t="inlineStr">
        <is>
          <t>SKÅNE LÄN</t>
        </is>
      </c>
      <c r="G305" t="inlineStr">
        <is>
          <t>ÖRKELLJUNGA</t>
        </is>
      </c>
      <c r="I305" t="n">
        <v>11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S 1124-2026</t>
        </is>
      </c>
      <c r="B306" t="inlineStr">
        <is>
          <t>samrådsanmälan</t>
        </is>
      </c>
      <c r="C306" t="inlineStr">
        <is>
          <t>Askåterföring</t>
        </is>
      </c>
      <c r="D306" s="1" t="n">
        <v>46134</v>
      </c>
      <c r="E306" s="1" t="n">
        <v>46300</v>
      </c>
      <c r="F306" t="inlineStr">
        <is>
          <t>SKÅNE LÄN</t>
        </is>
      </c>
      <c r="G306" t="inlineStr">
        <is>
          <t>ÖRKELLJUNGA</t>
        </is>
      </c>
      <c r="I306" t="n">
        <v>30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>
      <c r="A307" t="inlineStr">
        <is>
          <t>S 1336-2026</t>
        </is>
      </c>
      <c r="B307" t="inlineStr">
        <is>
          <t>samrådsanmälan</t>
        </is>
      </c>
      <c r="C307" t="inlineStr">
        <is>
          <t>Askåterföring</t>
        </is>
      </c>
      <c r="D307" s="1" t="n">
        <v>46150</v>
      </c>
      <c r="E307" s="1" t="n">
        <v>46300</v>
      </c>
      <c r="F307" t="inlineStr">
        <is>
          <t>SKÅNE LÄN</t>
        </is>
      </c>
      <c r="G307" t="inlineStr">
        <is>
          <t>ÖRKELLJUNGA</t>
        </is>
      </c>
      <c r="I307" t="n">
        <v>35.2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2026-10-05T01:57:04Z</dcterms:created>
  <dcterms:modified xmlns:dcterms="http://purl.org/dc/terms/" xmlns:xsi="http://www.w3.org/2001/XMLSchema-instance" xsi:type="dcterms:W3CDTF">2026-10-05T01:57:04Z</dcterms:modified>
</cp:coreProperties>
</file>