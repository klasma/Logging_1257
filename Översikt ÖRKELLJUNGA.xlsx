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46319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46319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46319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46319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46319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46319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46319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46319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46319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46319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46319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46319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46319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46319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Skorpplätt</t>
        </is>
      </c>
      <c r="W28">
        <f>HYPERLINK("https://klasma.github.io/Logging_1257/artfynd/A 6137-2024 artfynd.xlsx", "A 6137-2024")</f>
        <v/>
      </c>
      <c r="X28">
        <f>HYPERLINK("https://klasma.github.io/Logging_1257/kartor/A 6137-2024 karta.png", "A 6137-2024")</f>
        <v/>
      </c>
      <c r="Y28">
        <f>HYPERLINK("https://klasma.github.io/Logging_1257/kartor_geotiff/A 6137-2024 georefererad karta.tif", "A 6137-2024")</f>
        <v/>
      </c>
      <c r="AA28">
        <f>HYPERLINK("https://klasma.github.io/Logging_1257/klagomål/A 6137-2024 FSC-klagomål.docx", "A 6137-2024")</f>
        <v/>
      </c>
      <c r="AB28">
        <f>HYPERLINK("https://klasma.github.io/Logging_1257/klagomålsmail/A 6137-2024 FSC-klagomål mail.docx", "A 6137-2024")</f>
        <v/>
      </c>
      <c r="AC28">
        <f>HYPERLINK("https://klasma.github.io/Logging_1257/tillsyn/A 6137-2024 tillsynsbegäran.docx", "A 6137-2024")</f>
        <v/>
      </c>
      <c r="AD28">
        <f>HYPERLINK("https://klasma.github.io/Logging_1257/tillsynsmail/A 6137-2024 tillsynsbegäran mail.docx", "A 6137-2024")</f>
        <v/>
      </c>
    </row>
    <row r="29" ht="15" customHeight="1">
      <c r="A29" t="inlineStr">
        <is>
          <t>A 44244-2026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46319</v>
      </c>
      <c r="F29" t="inlineStr">
        <is>
          <t>SKÅNE LÄN</t>
        </is>
      </c>
      <c r="G29" t="inlineStr">
        <is>
          <t>ÖRKELLJUNGA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Kråka</t>
        </is>
      </c>
      <c r="W29">
        <f>HYPERLINK("https://klasma.github.io/Logging_1257/artfynd/A 44244-2026 artfynd.xlsx", "A 44244-2026")</f>
        <v/>
      </c>
      <c r="X29">
        <f>HYPERLINK("https://klasma.github.io/Logging_1257/kartor/A 44244-2026 karta.png", "A 44244-2026")</f>
        <v/>
      </c>
      <c r="Y29">
        <f>HYPERLINK("https://klasma.github.io/Logging_1257/kartor_geotiff/A 44244-2026 georefererad karta.tif", "A 44244-2026")</f>
        <v/>
      </c>
      <c r="AA29">
        <f>HYPERLINK("https://klasma.github.io/Logging_1257/klagomål/A 44244-2026 FSC-klagomål.docx", "A 44244-2026")</f>
        <v/>
      </c>
      <c r="AB29">
        <f>HYPERLINK("https://klasma.github.io/Logging_1257/klagomålsmail/A 44244-2026 FSC-klagomål mail.docx", "A 44244-2026")</f>
        <v/>
      </c>
      <c r="AC29">
        <f>HYPERLINK("https://klasma.github.io/Logging_1257/tillsyn/A 44244-2026 tillsynsbegäran.docx", "A 44244-2026")</f>
        <v/>
      </c>
      <c r="AD29">
        <f>HYPERLINK("https://klasma.github.io/Logging_1257/tillsynsmail/A 44244-2026 tillsynsbegäran mail.docx", "A 44244-2026")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46319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46319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46319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46319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46319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46319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46319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46319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46319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46319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46319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46319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46319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46319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46319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46319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46319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46319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46319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46319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46319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46319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46319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46319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46319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46319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46319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44939</v>
      </c>
      <c r="E57" s="1" t="n">
        <v>46319</v>
      </c>
      <c r="F57" t="inlineStr">
        <is>
          <t>SKÅNE LÄN</t>
        </is>
      </c>
      <c r="G57" t="inlineStr">
        <is>
          <t>ÖRKELLJUNGA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45707</v>
      </c>
      <c r="E58" s="1" t="n">
        <v>46319</v>
      </c>
      <c r="F58" t="inlineStr">
        <is>
          <t>SKÅNE LÄN</t>
        </is>
      </c>
      <c r="G58" t="inlineStr">
        <is>
          <t>ÖRKELLJUNGA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46319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46319</v>
      </c>
      <c r="F60" t="inlineStr">
        <is>
          <t>SKÅNE LÄN</t>
        </is>
      </c>
      <c r="G60" t="inlineStr">
        <is>
          <t>ÖRKELLJUNGA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46319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46319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46319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45362</v>
      </c>
      <c r="E64" s="1" t="n">
        <v>46319</v>
      </c>
      <c r="F64" t="inlineStr">
        <is>
          <t>SKÅNE LÄN</t>
        </is>
      </c>
      <c r="G64" t="inlineStr">
        <is>
          <t>ÖRKELLJUNGA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46319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46319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46319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46319</v>
      </c>
      <c r="F68" t="inlineStr">
        <is>
          <t>SKÅNE LÄN</t>
        </is>
      </c>
      <c r="G68" t="inlineStr">
        <is>
          <t>ÖRKELLJUNGA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46319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46319</v>
      </c>
      <c r="F70" t="inlineStr">
        <is>
          <t>SKÅNE LÄN</t>
        </is>
      </c>
      <c r="G70" t="inlineStr">
        <is>
          <t>ÖRKELLJUNGA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46319</v>
      </c>
      <c r="F71" t="inlineStr">
        <is>
          <t>SKÅNE LÄN</t>
        </is>
      </c>
      <c r="G71" t="inlineStr">
        <is>
          <t>ÖRKELLJUNGA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45915</v>
      </c>
      <c r="E72" s="1" t="n">
        <v>46319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46319</v>
      </c>
      <c r="F73" t="inlineStr">
        <is>
          <t>SKÅNE LÄN</t>
        </is>
      </c>
      <c r="G73" t="inlineStr">
        <is>
          <t>ÖRKELLJUNGA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2399-2025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46319</v>
      </c>
      <c r="F74" t="inlineStr">
        <is>
          <t>SKÅNE LÄN</t>
        </is>
      </c>
      <c r="G74" t="inlineStr">
        <is>
          <t>ÖRKELLJUNGA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44752</v>
      </c>
      <c r="E75" s="1" t="n">
        <v>46319</v>
      </c>
      <c r="F75" t="inlineStr">
        <is>
          <t>SKÅNE LÄN</t>
        </is>
      </c>
      <c r="G75" t="inlineStr">
        <is>
          <t>ÖRKELLJUNGA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46319</v>
      </c>
      <c r="F76" t="inlineStr">
        <is>
          <t>SKÅNE LÄN</t>
        </is>
      </c>
      <c r="G76" t="inlineStr">
        <is>
          <t>ÖRKELLJUNGA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22699-2024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46319</v>
      </c>
      <c r="F77" t="inlineStr">
        <is>
          <t>SKÅNE LÄN</t>
        </is>
      </c>
      <c r="G77" t="inlineStr">
        <is>
          <t>ÖRKELLJUNGA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46319</v>
      </c>
      <c r="F78" t="inlineStr">
        <is>
          <t>SKÅNE LÄN</t>
        </is>
      </c>
      <c r="G78" t="inlineStr">
        <is>
          <t>ÖRKELLJUNGA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45048</v>
      </c>
      <c r="E79" s="1" t="n">
        <v>46319</v>
      </c>
      <c r="F79" t="inlineStr">
        <is>
          <t>SKÅNE LÄN</t>
        </is>
      </c>
      <c r="G79" t="inlineStr">
        <is>
          <t>ÖRKELLJUNGA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46319</v>
      </c>
      <c r="F80" t="inlineStr">
        <is>
          <t>SKÅNE LÄN</t>
        </is>
      </c>
      <c r="G80" t="inlineStr">
        <is>
          <t>ÖRKELLJUNGA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46319</v>
      </c>
      <c r="F81" t="inlineStr">
        <is>
          <t>SKÅNE LÄN</t>
        </is>
      </c>
      <c r="G81" t="inlineStr">
        <is>
          <t>ÖRKELLJUNGA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63029-2023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46319</v>
      </c>
      <c r="F82" t="inlineStr">
        <is>
          <t>SKÅNE LÄN</t>
        </is>
      </c>
      <c r="G82" t="inlineStr">
        <is>
          <t>ÖRKELLJUNGA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46319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46319</v>
      </c>
      <c r="F84" t="inlineStr">
        <is>
          <t>SKÅNE LÄN</t>
        </is>
      </c>
      <c r="G84" t="inlineStr">
        <is>
          <t>ÖRKELLJUNGA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46319</v>
      </c>
      <c r="F85" t="inlineStr">
        <is>
          <t>SKÅNE LÄN</t>
        </is>
      </c>
      <c r="G85" t="inlineStr">
        <is>
          <t>ÖRKELLJUNGA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46319</v>
      </c>
      <c r="F86" t="inlineStr">
        <is>
          <t>SKÅNE LÄN</t>
        </is>
      </c>
      <c r="G86" t="inlineStr">
        <is>
          <t>ÖRKELLJUNGA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23740-2023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46319</v>
      </c>
      <c r="F87" t="inlineStr">
        <is>
          <t>SKÅNE LÄN</t>
        </is>
      </c>
      <c r="G87" t="inlineStr">
        <is>
          <t>ÖRKELLJUNGA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46319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46319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46177</v>
      </c>
      <c r="E90" s="1" t="n">
        <v>46319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46319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25778-2026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46319</v>
      </c>
      <c r="F92" t="inlineStr">
        <is>
          <t>SKÅNE LÄN</t>
        </is>
      </c>
      <c r="G92" t="inlineStr">
        <is>
          <t>ÖRKELLJUNGA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46319</v>
      </c>
      <c r="F93" t="inlineStr">
        <is>
          <t>SKÅNE LÄN</t>
        </is>
      </c>
      <c r="G93" t="inlineStr">
        <is>
          <t>ÖRKELLJUNGA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46319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36280-2025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45867</v>
      </c>
      <c r="E95" s="1" t="n">
        <v>46319</v>
      </c>
      <c r="F95" t="inlineStr">
        <is>
          <t>SKÅNE LÄN</t>
        </is>
      </c>
      <c r="G95" t="inlineStr">
        <is>
          <t>ÖRKELLJUNGA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46178</v>
      </c>
      <c r="E96" s="1" t="n">
        <v>46319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46319</v>
      </c>
      <c r="F97" t="inlineStr">
        <is>
          <t>SKÅNE LÄN</t>
        </is>
      </c>
      <c r="G97" t="inlineStr">
        <is>
          <t>ÖRKELLJUNGA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46319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46319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25780-2026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46319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46319</v>
      </c>
      <c r="F101" t="inlineStr">
        <is>
          <t>SKÅNE LÄN</t>
        </is>
      </c>
      <c r="G101" t="inlineStr">
        <is>
          <t>ÖRKELLJUNGA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46319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46319</v>
      </c>
      <c r="F103" t="inlineStr">
        <is>
          <t>SKÅNE LÄN</t>
        </is>
      </c>
      <c r="G103" t="inlineStr">
        <is>
          <t>ÖRKELLJUNGA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46319</v>
      </c>
      <c r="F104" t="inlineStr">
        <is>
          <t>SKÅNE LÄN</t>
        </is>
      </c>
      <c r="G104" t="inlineStr">
        <is>
          <t>ÖRKELLJUNGA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46319</v>
      </c>
      <c r="F105" t="inlineStr">
        <is>
          <t>SKÅNE LÄN</t>
        </is>
      </c>
      <c r="G105" t="inlineStr">
        <is>
          <t>ÖRKELLJUNGA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46319</v>
      </c>
      <c r="F106" t="inlineStr">
        <is>
          <t>SKÅNE LÄN</t>
        </is>
      </c>
      <c r="G106" t="inlineStr">
        <is>
          <t>ÖRKELLJUNGA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46319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26578-2026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46183</v>
      </c>
      <c r="E108" s="1" t="n">
        <v>46319</v>
      </c>
      <c r="F108" t="inlineStr">
        <is>
          <t>SKÅNE LÄN</t>
        </is>
      </c>
      <c r="G108" t="inlineStr">
        <is>
          <t>ÖRKELLJUNGA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46183</v>
      </c>
      <c r="E109" s="1" t="n">
        <v>46319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46319</v>
      </c>
      <c r="F110" t="inlineStr">
        <is>
          <t>SKÅNE LÄN</t>
        </is>
      </c>
      <c r="G110" t="inlineStr">
        <is>
          <t>ÖRKELLJUNGA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46319</v>
      </c>
      <c r="F111" t="inlineStr">
        <is>
          <t>SKÅNE LÄN</t>
        </is>
      </c>
      <c r="G111" t="inlineStr">
        <is>
          <t>ÖRKELLJUNGA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46319</v>
      </c>
      <c r="F112" t="inlineStr">
        <is>
          <t>SKÅNE LÄN</t>
        </is>
      </c>
      <c r="G112" t="inlineStr">
        <is>
          <t>ÖRKELLJUNGA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46319</v>
      </c>
      <c r="F113" t="inlineStr">
        <is>
          <t>SKÅNE LÄN</t>
        </is>
      </c>
      <c r="G113" t="inlineStr">
        <is>
          <t>ÖRKELLJUNGA</t>
        </is>
      </c>
      <c r="I113" t="n">
        <v>23.2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46188</v>
      </c>
      <c r="E114" s="1" t="n">
        <v>46319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46319</v>
      </c>
      <c r="F115" t="inlineStr">
        <is>
          <t>SKÅNE LÄN</t>
        </is>
      </c>
      <c r="G115" t="inlineStr">
        <is>
          <t>ÖRKELLJUNGA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46319</v>
      </c>
      <c r="F116" t="inlineStr">
        <is>
          <t>SKÅNE LÄN</t>
        </is>
      </c>
      <c r="G116" t="inlineStr">
        <is>
          <t>ÖRKELLJUNGA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46319</v>
      </c>
      <c r="F117" t="inlineStr">
        <is>
          <t>SKÅNE LÄN</t>
        </is>
      </c>
      <c r="G117" t="inlineStr">
        <is>
          <t>ÖRKELLJUNGA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46319</v>
      </c>
      <c r="F118" t="inlineStr">
        <is>
          <t>SKÅNE LÄN</t>
        </is>
      </c>
      <c r="G118" t="inlineStr">
        <is>
          <t>ÖRKELLJUNGA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46319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46319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46319</v>
      </c>
      <c r="F121" t="inlineStr">
        <is>
          <t>SKÅNE LÄN</t>
        </is>
      </c>
      <c r="G121" t="inlineStr">
        <is>
          <t>ÖRKELLJUNGA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46319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46319</v>
      </c>
      <c r="F123" t="inlineStr">
        <is>
          <t>SKÅNE LÄN</t>
        </is>
      </c>
      <c r="G123" t="inlineStr">
        <is>
          <t>ÖRKELLJUNGA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46319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46319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46319</v>
      </c>
      <c r="F126" t="inlineStr">
        <is>
          <t>SKÅNE LÄN</t>
        </is>
      </c>
      <c r="G126" t="inlineStr">
        <is>
          <t>ÖRKELLJUNGA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46319</v>
      </c>
      <c r="F127" t="inlineStr">
        <is>
          <t>SKÅNE LÄN</t>
        </is>
      </c>
      <c r="G127" t="inlineStr">
        <is>
          <t>ÖRKELLJUNGA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46319</v>
      </c>
      <c r="F128" t="inlineStr">
        <is>
          <t>SKÅNE LÄN</t>
        </is>
      </c>
      <c r="G128" t="inlineStr">
        <is>
          <t>ÖRKELLJUNGA</t>
        </is>
      </c>
      <c r="H128" t="inlineStr">
        <is>
          <t>Kommuner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46319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46319</v>
      </c>
      <c r="F130" t="inlineStr">
        <is>
          <t>SKÅNE LÄN</t>
        </is>
      </c>
      <c r="G130" t="inlineStr">
        <is>
          <t>ÖRKELLJUNGA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46319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46319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45659</v>
      </c>
      <c r="E133" s="1" t="n">
        <v>46319</v>
      </c>
      <c r="F133" t="inlineStr">
        <is>
          <t>SKÅNE LÄN</t>
        </is>
      </c>
      <c r="G133" t="inlineStr">
        <is>
          <t>ÖRKELLJUNGA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46319</v>
      </c>
      <c r="F134" t="inlineStr">
        <is>
          <t>SKÅNE LÄN</t>
        </is>
      </c>
      <c r="G134" t="inlineStr">
        <is>
          <t>ÖRKELLJUNGA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46319</v>
      </c>
      <c r="F135" t="inlineStr">
        <is>
          <t>SKÅNE LÄN</t>
        </is>
      </c>
      <c r="G135" t="inlineStr">
        <is>
          <t>ÖRKELLJUNGA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46319</v>
      </c>
      <c r="F136" t="inlineStr">
        <is>
          <t>SKÅNE LÄN</t>
        </is>
      </c>
      <c r="G136" t="inlineStr">
        <is>
          <t>ÖRKELLJUNGA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46319</v>
      </c>
      <c r="F137" t="inlineStr">
        <is>
          <t>SKÅNE LÄN</t>
        </is>
      </c>
      <c r="G137" t="inlineStr">
        <is>
          <t>ÖRKELLJUNGA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46319</v>
      </c>
      <c r="F138" t="inlineStr">
        <is>
          <t>SKÅNE LÄN</t>
        </is>
      </c>
      <c r="G138" t="inlineStr">
        <is>
          <t>ÖRKELLJUNGA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46319</v>
      </c>
      <c r="F139" t="inlineStr">
        <is>
          <t>SKÅNE LÄN</t>
        </is>
      </c>
      <c r="G139" t="inlineStr">
        <is>
          <t>ÖRKELLJUNGA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46319</v>
      </c>
      <c r="F140" t="inlineStr">
        <is>
          <t>SKÅNE LÄN</t>
        </is>
      </c>
      <c r="G140" t="inlineStr">
        <is>
          <t>ÖRKELLJUNGA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46319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46319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46319</v>
      </c>
      <c r="F143" t="inlineStr">
        <is>
          <t>SKÅNE LÄN</t>
        </is>
      </c>
      <c r="G143" t="inlineStr">
        <is>
          <t>ÖRKELLJUNGA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46319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46319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46319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45235</v>
      </c>
      <c r="E147" s="1" t="n">
        <v>46319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46319</v>
      </c>
      <c r="F148" t="inlineStr">
        <is>
          <t>SKÅNE LÄN</t>
        </is>
      </c>
      <c r="G148" t="inlineStr">
        <is>
          <t>ÖRKELLJUNGA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46319</v>
      </c>
      <c r="F149" t="inlineStr">
        <is>
          <t>SKÅNE LÄN</t>
        </is>
      </c>
      <c r="G149" t="inlineStr">
        <is>
          <t>ÖRKELLJUNGA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46319</v>
      </c>
      <c r="F150" t="inlineStr">
        <is>
          <t>SKÅNE LÄN</t>
        </is>
      </c>
      <c r="G150" t="inlineStr">
        <is>
          <t>ÖRKELLJUNGA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46319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46319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46287</v>
      </c>
      <c r="E153" s="1" t="n">
        <v>46319</v>
      </c>
      <c r="F153" t="inlineStr">
        <is>
          <t>SKÅNE LÄN</t>
        </is>
      </c>
      <c r="G153" t="inlineStr">
        <is>
          <t>ÖRKELLJUNGA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46319</v>
      </c>
      <c r="F154" t="inlineStr">
        <is>
          <t>SKÅNE LÄN</t>
        </is>
      </c>
      <c r="G154" t="inlineStr">
        <is>
          <t>ÖRKELLJUNGA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46245</v>
      </c>
      <c r="E155" s="1" t="n">
        <v>46319</v>
      </c>
      <c r="F155" t="inlineStr">
        <is>
          <t>SKÅNE LÄN</t>
        </is>
      </c>
      <c r="G155" t="inlineStr">
        <is>
          <t>ÖRKELLJUNGA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46287</v>
      </c>
      <c r="E156" s="1" t="n">
        <v>46319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46319</v>
      </c>
      <c r="F157" t="inlineStr">
        <is>
          <t>SKÅNE LÄN</t>
        </is>
      </c>
      <c r="G157" t="inlineStr">
        <is>
          <t>ÖRKELLJUNGA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46319</v>
      </c>
      <c r="F158" t="inlineStr">
        <is>
          <t>SKÅNE LÄN</t>
        </is>
      </c>
      <c r="G158" t="inlineStr">
        <is>
          <t>ÖRKELLJUNGA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46319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46319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46290</v>
      </c>
      <c r="E161" s="1" t="n">
        <v>46319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46319</v>
      </c>
      <c r="F162" t="inlineStr">
        <is>
          <t>SKÅNE LÄN</t>
        </is>
      </c>
      <c r="G162" t="inlineStr">
        <is>
          <t>ÖRKELLJUNGA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46245</v>
      </c>
      <c r="E163" s="1" t="n">
        <v>46319</v>
      </c>
      <c r="F163" t="inlineStr">
        <is>
          <t>SKÅNE LÄN</t>
        </is>
      </c>
      <c r="G163" t="inlineStr">
        <is>
          <t>ÖRKELLJUNGA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46319</v>
      </c>
      <c r="F164" t="inlineStr">
        <is>
          <t>SKÅNE LÄN</t>
        </is>
      </c>
      <c r="G164" t="inlineStr">
        <is>
          <t>ÖRKELLJUNGA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46280</v>
      </c>
      <c r="E165" s="1" t="n">
        <v>46319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46319</v>
      </c>
      <c r="F166" t="inlineStr">
        <is>
          <t>SKÅNE LÄN</t>
        </is>
      </c>
      <c r="G166" t="inlineStr">
        <is>
          <t>ÖRKELLJUNGA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46319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46293</v>
      </c>
      <c r="E168" s="1" t="n">
        <v>46319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46319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46319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46319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46319</v>
      </c>
      <c r="F172" t="inlineStr">
        <is>
          <t>SKÅNE LÄN</t>
        </is>
      </c>
      <c r="G172" t="inlineStr">
        <is>
          <t>ÖRKELLJUNGA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46319</v>
      </c>
      <c r="F173" t="inlineStr">
        <is>
          <t>SKÅNE LÄN</t>
        </is>
      </c>
      <c r="G173" t="inlineStr">
        <is>
          <t>ÖRKELLJUNGA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46319</v>
      </c>
      <c r="F174" t="inlineStr">
        <is>
          <t>SKÅNE LÄN</t>
        </is>
      </c>
      <c r="G174" t="inlineStr">
        <is>
          <t>ÖRKELLJUNGA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46319</v>
      </c>
      <c r="F175" t="inlineStr">
        <is>
          <t>SKÅNE LÄN</t>
        </is>
      </c>
      <c r="G175" t="inlineStr">
        <is>
          <t>ÖRKELLJUNGA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46319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46319</v>
      </c>
      <c r="F177" t="inlineStr">
        <is>
          <t>SKÅNE LÄN</t>
        </is>
      </c>
      <c r="G177" t="inlineStr">
        <is>
          <t>ÖRKELLJUNGA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46077</v>
      </c>
      <c r="E178" s="1" t="n">
        <v>46319</v>
      </c>
      <c r="F178" t="inlineStr">
        <is>
          <t>SKÅNE LÄN</t>
        </is>
      </c>
      <c r="G178" t="inlineStr">
        <is>
          <t>ÖRKELLJUNGA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46319</v>
      </c>
      <c r="F179" t="inlineStr">
        <is>
          <t>SKÅNE LÄN</t>
        </is>
      </c>
      <c r="G179" t="inlineStr">
        <is>
          <t>ÖRKELLJUNGA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46319</v>
      </c>
      <c r="F180" t="inlineStr">
        <is>
          <t>SKÅNE LÄN</t>
        </is>
      </c>
      <c r="G180" t="inlineStr">
        <is>
          <t>ÖRKELLJUNGA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46203</v>
      </c>
      <c r="E181" s="1" t="n">
        <v>46319</v>
      </c>
      <c r="F181" t="inlineStr">
        <is>
          <t>SKÅNE LÄN</t>
        </is>
      </c>
      <c r="G181" t="inlineStr">
        <is>
          <t>ÖRKELLJUNGA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46319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46319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46319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46319</v>
      </c>
      <c r="F185" t="inlineStr">
        <is>
          <t>SKÅNE LÄN</t>
        </is>
      </c>
      <c r="G185" t="inlineStr">
        <is>
          <t>ÖRKELLJUNGA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46319</v>
      </c>
      <c r="F186" t="inlineStr">
        <is>
          <t>SKÅNE LÄN</t>
        </is>
      </c>
      <c r="G186" t="inlineStr">
        <is>
          <t>ÖRKELLJUNGA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46319</v>
      </c>
      <c r="F187" t="inlineStr">
        <is>
          <t>SKÅNE LÄN</t>
        </is>
      </c>
      <c r="G187" t="inlineStr">
        <is>
          <t>ÖRKELLJUNGA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46319</v>
      </c>
      <c r="F188" t="inlineStr">
        <is>
          <t>SKÅNE LÄN</t>
        </is>
      </c>
      <c r="G188" t="inlineStr">
        <is>
          <t>ÖRKELLJUNGA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46319</v>
      </c>
      <c r="F189" t="inlineStr">
        <is>
          <t>SKÅNE LÄN</t>
        </is>
      </c>
      <c r="G189" t="inlineStr">
        <is>
          <t>ÖRKELLJUNGA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46319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46319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46319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46319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46319</v>
      </c>
      <c r="F194" t="inlineStr">
        <is>
          <t>SKÅNE LÄN</t>
        </is>
      </c>
      <c r="G194" t="inlineStr">
        <is>
          <t>ÖRKELLJUNGA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46319</v>
      </c>
      <c r="F195" t="inlineStr">
        <is>
          <t>SKÅNE LÄN</t>
        </is>
      </c>
      <c r="G195" t="inlineStr">
        <is>
          <t>ÖRKELLJUNGA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46301</v>
      </c>
      <c r="E196" s="1" t="n">
        <v>46319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46319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46319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46319</v>
      </c>
      <c r="F199" t="inlineStr">
        <is>
          <t>SKÅNE LÄN</t>
        </is>
      </c>
      <c r="G199" t="inlineStr">
        <is>
          <t>ÖRKELLJUNGA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46319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46319</v>
      </c>
      <c r="F201" t="inlineStr">
        <is>
          <t>SKÅNE LÄN</t>
        </is>
      </c>
      <c r="G201" t="inlineStr">
        <is>
          <t>ÖRKELLJUNGA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46319</v>
      </c>
      <c r="F202" t="inlineStr">
        <is>
          <t>SKÅNE LÄN</t>
        </is>
      </c>
      <c r="G202" t="inlineStr">
        <is>
          <t>ÖRKELLJUNGA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46319</v>
      </c>
      <c r="F203" t="inlineStr">
        <is>
          <t>SKÅNE LÄN</t>
        </is>
      </c>
      <c r="G203" t="inlineStr">
        <is>
          <t>ÖRKELLJUNGA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46319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46319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46319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46319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46319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46266</v>
      </c>
      <c r="E209" s="1" t="n">
        <v>46319</v>
      </c>
      <c r="F209" t="inlineStr">
        <is>
          <t>SKÅNE LÄN</t>
        </is>
      </c>
      <c r="G209" t="inlineStr">
        <is>
          <t>ÖRKELLJUNGA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46319</v>
      </c>
      <c r="F210" t="inlineStr">
        <is>
          <t>SKÅNE LÄN</t>
        </is>
      </c>
      <c r="G210" t="inlineStr">
        <is>
          <t>ÖRKELLJUNGA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46319</v>
      </c>
      <c r="F211" t="inlineStr">
        <is>
          <t>SKÅNE LÄN</t>
        </is>
      </c>
      <c r="G211" t="inlineStr">
        <is>
          <t>ÖRKELLJUNGA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46319</v>
      </c>
      <c r="F212" t="inlineStr">
        <is>
          <t>SKÅNE LÄN</t>
        </is>
      </c>
      <c r="G212" t="inlineStr">
        <is>
          <t>ÖRKELLJUNGA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46319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73830-2021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46319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44599</v>
      </c>
      <c r="E215" s="1" t="n">
        <v>46319</v>
      </c>
      <c r="F215" t="inlineStr">
        <is>
          <t>SKÅNE LÄN</t>
        </is>
      </c>
      <c r="G215" t="inlineStr">
        <is>
          <t>ÖRKELLJUNGA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46319</v>
      </c>
      <c r="F216" t="inlineStr">
        <is>
          <t>SKÅNE LÄN</t>
        </is>
      </c>
      <c r="G216" t="inlineStr">
        <is>
          <t>ÖRKELLJUNGA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46319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46319</v>
      </c>
      <c r="F218" t="inlineStr">
        <is>
          <t>SKÅNE LÄN</t>
        </is>
      </c>
      <c r="G218" t="inlineStr">
        <is>
          <t>ÖRKELLJUNGA</t>
        </is>
      </c>
      <c r="H218" t="inlineStr">
        <is>
          <t>Kyrkan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46319</v>
      </c>
      <c r="F219" t="inlineStr">
        <is>
          <t>SKÅNE LÄN</t>
        </is>
      </c>
      <c r="G219" t="inlineStr">
        <is>
          <t>ÖRKELLJUNGA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46276</v>
      </c>
      <c r="E220" s="1" t="n">
        <v>46319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46319</v>
      </c>
      <c r="F221" t="inlineStr">
        <is>
          <t>SKÅNE LÄN</t>
        </is>
      </c>
      <c r="G221" t="inlineStr">
        <is>
          <t>ÖRKELLJUNGA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46319</v>
      </c>
      <c r="F222" t="inlineStr">
        <is>
          <t>SKÅNE LÄN</t>
        </is>
      </c>
      <c r="G222" t="inlineStr">
        <is>
          <t>ÖRKELLJUNGA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46319</v>
      </c>
      <c r="F223" t="inlineStr">
        <is>
          <t>SKÅNE LÄN</t>
        </is>
      </c>
      <c r="G223" t="inlineStr">
        <is>
          <t>ÖRKELLJUNGA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45435</v>
      </c>
      <c r="E224" s="1" t="n">
        <v>46319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46319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46319</v>
      </c>
      <c r="F226" t="inlineStr">
        <is>
          <t>SKÅNE LÄN</t>
        </is>
      </c>
      <c r="G226" t="inlineStr">
        <is>
          <t>ÖRKELLJUNGA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46319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46319</v>
      </c>
      <c r="F228" t="inlineStr">
        <is>
          <t>SKÅNE LÄN</t>
        </is>
      </c>
      <c r="G228" t="inlineStr">
        <is>
          <t>ÖRKELLJUNGA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45278</v>
      </c>
      <c r="E229" s="1" t="n">
        <v>46319</v>
      </c>
      <c r="F229" t="inlineStr">
        <is>
          <t>SKÅNE LÄN</t>
        </is>
      </c>
      <c r="G229" t="inlineStr">
        <is>
          <t>ÖRKELLJUNGA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46319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46319</v>
      </c>
      <c r="F231" t="inlineStr">
        <is>
          <t>SKÅNE LÄN</t>
        </is>
      </c>
      <c r="G231" t="inlineStr">
        <is>
          <t>ÖRKELLJUNGA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46319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45178</v>
      </c>
      <c r="E233" s="1" t="n">
        <v>46319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46319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46319</v>
      </c>
      <c r="F235" t="inlineStr">
        <is>
          <t>SKÅNE LÄN</t>
        </is>
      </c>
      <c r="G235" t="inlineStr">
        <is>
          <t>ÖRKELLJUNGA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45659</v>
      </c>
      <c r="E236" s="1" t="n">
        <v>46319</v>
      </c>
      <c r="F236" t="inlineStr">
        <is>
          <t>SKÅNE LÄN</t>
        </is>
      </c>
      <c r="G236" t="inlineStr">
        <is>
          <t>ÖRKELLJUNGA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44844</v>
      </c>
      <c r="E237" s="1" t="n">
        <v>46319</v>
      </c>
      <c r="F237" t="inlineStr">
        <is>
          <t>SKÅNE LÄN</t>
        </is>
      </c>
      <c r="G237" t="inlineStr">
        <is>
          <t>ÖRKELLJUNGA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44804</v>
      </c>
      <c r="E238" s="1" t="n">
        <v>46319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46319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40190-2022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46319</v>
      </c>
      <c r="F240" t="inlineStr">
        <is>
          <t>SKÅNE LÄN</t>
        </is>
      </c>
      <c r="G240" t="inlineStr">
        <is>
          <t>ÖRKELLJUNGA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46319</v>
      </c>
      <c r="F241" t="inlineStr">
        <is>
          <t>SKÅNE LÄN</t>
        </is>
      </c>
      <c r="G241" t="inlineStr">
        <is>
          <t>ÖRKELLJUNGA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46319</v>
      </c>
      <c r="F242" t="inlineStr">
        <is>
          <t>SKÅNE LÄN</t>
        </is>
      </c>
      <c r="G242" t="inlineStr">
        <is>
          <t>ÖRKELLJUNGA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46319</v>
      </c>
      <c r="F243" t="inlineStr">
        <is>
          <t>SKÅNE LÄN</t>
        </is>
      </c>
      <c r="G243" t="inlineStr">
        <is>
          <t>ÖRKELLJUNGA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46319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45140</v>
      </c>
      <c r="E245" s="1" t="n">
        <v>46319</v>
      </c>
      <c r="F245" t="inlineStr">
        <is>
          <t>SKÅNE LÄN</t>
        </is>
      </c>
      <c r="G245" t="inlineStr">
        <is>
          <t>ÖRKELLJUNGA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45723</v>
      </c>
      <c r="E246" s="1" t="n">
        <v>46319</v>
      </c>
      <c r="F246" t="inlineStr">
        <is>
          <t>SKÅNE LÄN</t>
        </is>
      </c>
      <c r="G246" t="inlineStr">
        <is>
          <t>ÖRKELLJUNGA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45235</v>
      </c>
      <c r="E247" s="1" t="n">
        <v>46319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46319</v>
      </c>
      <c r="F248" t="inlineStr">
        <is>
          <t>SKÅNE LÄN</t>
        </is>
      </c>
      <c r="G248" t="inlineStr">
        <is>
          <t>ÖRKELLJUNGA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46319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46319</v>
      </c>
      <c r="F250" t="inlineStr">
        <is>
          <t>SKÅNE LÄN</t>
        </is>
      </c>
      <c r="G250" t="inlineStr">
        <is>
          <t>ÖRKELLJUNGA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46319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46319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46319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46319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45398</v>
      </c>
      <c r="E255" s="1" t="n">
        <v>46319</v>
      </c>
      <c r="F255" t="inlineStr">
        <is>
          <t>SKÅNE LÄN</t>
        </is>
      </c>
      <c r="G255" t="inlineStr">
        <is>
          <t>ÖRKELLJUNGA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45308</v>
      </c>
      <c r="E256" s="1" t="n">
        <v>46319</v>
      </c>
      <c r="F256" t="inlineStr">
        <is>
          <t>SKÅNE LÄN</t>
        </is>
      </c>
      <c r="G256" t="inlineStr">
        <is>
          <t>ÖRKELLJUNGA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44545</v>
      </c>
      <c r="E257" s="1" t="n">
        <v>46319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46319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46319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46319</v>
      </c>
      <c r="F260" t="inlineStr">
        <is>
          <t>SKÅNE LÄN</t>
        </is>
      </c>
      <c r="G260" t="inlineStr">
        <is>
          <t>ÖRKELLJUNGA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46319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46319</v>
      </c>
      <c r="F262" t="inlineStr">
        <is>
          <t>SKÅNE LÄN</t>
        </is>
      </c>
      <c r="G262" t="inlineStr">
        <is>
          <t>ÖRKELLJUNGA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46319</v>
      </c>
      <c r="F263" t="inlineStr">
        <is>
          <t>SKÅNE LÄN</t>
        </is>
      </c>
      <c r="G263" t="inlineStr">
        <is>
          <t>ÖRKELLJUNGA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46319</v>
      </c>
      <c r="F264" t="inlineStr">
        <is>
          <t>SKÅNE LÄN</t>
        </is>
      </c>
      <c r="G264" t="inlineStr">
        <is>
          <t>ÖRKELLJUNGA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46319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50304-2023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45209</v>
      </c>
      <c r="E266" s="1" t="n">
        <v>46319</v>
      </c>
      <c r="F266" t="inlineStr">
        <is>
          <t>SKÅNE LÄN</t>
        </is>
      </c>
      <c r="G266" t="inlineStr">
        <is>
          <t>ÖRKELLJUNGA</t>
        </is>
      </c>
      <c r="I266" t="n">
        <v>17.9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46319</v>
      </c>
      <c r="F267" t="inlineStr">
        <is>
          <t>SKÅNE LÄN</t>
        </is>
      </c>
      <c r="G267" t="inlineStr">
        <is>
          <t>ÖRKELLJUNGA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44752</v>
      </c>
      <c r="E268" s="1" t="n">
        <v>46319</v>
      </c>
      <c r="F268" t="inlineStr">
        <is>
          <t>SKÅNE LÄN</t>
        </is>
      </c>
      <c r="G268" t="inlineStr">
        <is>
          <t>ÖRKELLJUNGA</t>
        </is>
      </c>
      <c r="H268" t="inlineStr">
        <is>
          <t>Kommuner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46319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46319</v>
      </c>
      <c r="F270" t="inlineStr">
        <is>
          <t>SKÅNE LÄN</t>
        </is>
      </c>
      <c r="G270" t="inlineStr">
        <is>
          <t>ÖRKELLJUNGA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46319</v>
      </c>
      <c r="F271" t="inlineStr">
        <is>
          <t>SKÅNE LÄN</t>
        </is>
      </c>
      <c r="G271" t="inlineStr">
        <is>
          <t>ÖRKELLJUNGA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44704</v>
      </c>
      <c r="E272" s="1" t="n">
        <v>46319</v>
      </c>
      <c r="F272" t="inlineStr">
        <is>
          <t>SKÅNE LÄN</t>
        </is>
      </c>
      <c r="G272" t="inlineStr">
        <is>
          <t>ÖRKELLJUNGA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46319</v>
      </c>
      <c r="F273" t="inlineStr">
        <is>
          <t>SKÅNE LÄN</t>
        </is>
      </c>
      <c r="G273" t="inlineStr">
        <is>
          <t>ÖRKELLJUNGA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45305</v>
      </c>
      <c r="E274" s="1" t="n">
        <v>46319</v>
      </c>
      <c r="F274" t="inlineStr">
        <is>
          <t>SKÅNE LÄN</t>
        </is>
      </c>
      <c r="G274" t="inlineStr">
        <is>
          <t>ÖRKELLJUNGA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45305</v>
      </c>
      <c r="E275" s="1" t="n">
        <v>46319</v>
      </c>
      <c r="F275" t="inlineStr">
        <is>
          <t>SKÅNE LÄN</t>
        </is>
      </c>
      <c r="G275" t="inlineStr">
        <is>
          <t>ÖRKELLJUNGA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46319</v>
      </c>
      <c r="F276" t="inlineStr">
        <is>
          <t>SKÅNE LÄN</t>
        </is>
      </c>
      <c r="G276" t="inlineStr">
        <is>
          <t>ÖRKELLJUNGA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46319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46319</v>
      </c>
      <c r="F278" t="inlineStr">
        <is>
          <t>SKÅNE LÄN</t>
        </is>
      </c>
      <c r="G278" t="inlineStr">
        <is>
          <t>ÖRKELLJUNGA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46319</v>
      </c>
      <c r="F279" t="inlineStr">
        <is>
          <t>SKÅNE LÄN</t>
        </is>
      </c>
      <c r="G279" t="inlineStr">
        <is>
          <t>ÖRKELLJUNGA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46319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46319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46319</v>
      </c>
      <c r="F282" t="inlineStr">
        <is>
          <t>SKÅNE LÄN</t>
        </is>
      </c>
      <c r="G282" t="inlineStr">
        <is>
          <t>ÖRKELLJUNGA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46319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44757</v>
      </c>
      <c r="E284" s="1" t="n">
        <v>46319</v>
      </c>
      <c r="F284" t="inlineStr">
        <is>
          <t>SKÅNE LÄN</t>
        </is>
      </c>
      <c r="G284" t="inlineStr">
        <is>
          <t>ÖRKELLJUNGA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45124</v>
      </c>
      <c r="E285" s="1" t="n">
        <v>46319</v>
      </c>
      <c r="F285" t="inlineStr">
        <is>
          <t>SKÅNE LÄN</t>
        </is>
      </c>
      <c r="G285" t="inlineStr">
        <is>
          <t>ÖRKELLJUNGA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46319</v>
      </c>
      <c r="F286" t="inlineStr">
        <is>
          <t>SKÅNE LÄN</t>
        </is>
      </c>
      <c r="G286" t="inlineStr">
        <is>
          <t>ÖRKELLJUNGA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46319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46319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46319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46319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46319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46319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46319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46319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46319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46319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46319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46319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46319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46319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46319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46319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46319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46319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2026-10-24T02:04:28Z</dcterms:created>
  <dcterms:modified xmlns:dcterms="http://purl.org/dc/terms/" xmlns:xsi="http://www.w3.org/2001/XMLSchema-instance" xsi:type="dcterms:W3CDTF">2026-10-24T02:04:28Z</dcterms:modified>
</cp:coreProperties>
</file>